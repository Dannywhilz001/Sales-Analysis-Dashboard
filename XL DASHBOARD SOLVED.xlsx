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9012C765-2F52-419A-B844-862F6AF1C419}" xr6:coauthVersionLast="47" xr6:coauthVersionMax="47" xr10:uidLastSave="{00000000-0000-0000-0000-000000000000}"/>
  <bookViews>
    <workbookView xWindow="-98" yWindow="-98" windowWidth="19396" windowHeight="11596" firstSheet="2" activeTab="5" xr2:uid="{72B1EBE7-6251-4D86-8DC9-68387363DE12}"/>
  </bookViews>
  <sheets>
    <sheet name="SALES AND PRODUCT BY REGION" sheetId="4" r:id="rId1"/>
    <sheet name="CATEGORY BY PROFIT AND SALES" sheetId="5" r:id="rId2"/>
    <sheet name="MONTHLY SALES TREND" sheetId="7" r:id="rId3"/>
    <sheet name="DATA" sheetId="1" r:id="rId4"/>
    <sheet name="TOTAL SALES" sheetId="3" r:id="rId5"/>
    <sheet name="sales analysis dashboard" sheetId="2" r:id="rId6"/>
  </sheets>
  <definedNames>
    <definedName name="Slicer_Category">#N/A</definedName>
    <definedName name="Slicer_Product">#N/A</definedName>
    <definedName name="Slicer_Product1">#N/A</definedName>
    <definedName name="Slicer_Region">#N/A</definedName>
  </definedNames>
  <calcPr calcId="191029"/>
  <pivotCaches>
    <pivotCache cacheId="3"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7" i="1" l="1"/>
  <c r="L16" i="1"/>
  <c r="L34" i="1"/>
  <c r="L30" i="1"/>
  <c r="L29" i="1"/>
  <c r="L28" i="1"/>
  <c r="L27" i="1"/>
  <c r="L26" i="1"/>
  <c r="L23" i="1"/>
  <c r="L22" i="1"/>
  <c r="L21" i="1"/>
  <c r="L20" i="1"/>
  <c r="L6" i="1" a="1"/>
  <c r="L6" i="1" s="1"/>
  <c r="L15" i="1"/>
  <c r="L12" i="1"/>
  <c r="L9" i="1"/>
  <c r="L3" i="1"/>
  <c r="J34" i="1"/>
  <c r="J30" i="1"/>
  <c r="J29" i="1"/>
  <c r="J28" i="1"/>
  <c r="J27" i="1"/>
  <c r="J26" i="1"/>
  <c r="J23" i="1"/>
  <c r="J22" i="1"/>
  <c r="J21" i="1"/>
  <c r="J20" i="1"/>
  <c r="J17" i="1"/>
  <c r="J16" i="1"/>
  <c r="J15" i="1"/>
  <c r="J12" i="1"/>
  <c r="J9" i="1"/>
  <c r="J6" i="1" a="1"/>
  <c r="J6" i="1" s="1"/>
  <c r="J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<sst xmlns="http://schemas.openxmlformats.org/spreadsheetml/2006/main" count="3071" uniqueCount="58">
  <si>
    <t>Date</t>
  </si>
  <si>
    <t>Product</t>
  </si>
  <si>
    <t>Category</t>
  </si>
  <si>
    <t>Region</t>
  </si>
  <si>
    <t>Sales</t>
  </si>
  <si>
    <t>Quantity</t>
  </si>
  <si>
    <t>Profit</t>
  </si>
  <si>
    <t>Product C</t>
  </si>
  <si>
    <t>Toys</t>
  </si>
  <si>
    <t>South</t>
  </si>
  <si>
    <t>Electronics</t>
  </si>
  <si>
    <t>North</t>
  </si>
  <si>
    <t>Product A</t>
  </si>
  <si>
    <t>Product B</t>
  </si>
  <si>
    <t>Product E</t>
  </si>
  <si>
    <t>Clothing</t>
  </si>
  <si>
    <t>Food</t>
  </si>
  <si>
    <t>East</t>
  </si>
  <si>
    <t>Product D</t>
  </si>
  <si>
    <t>Furniture</t>
  </si>
  <si>
    <t>West</t>
  </si>
  <si>
    <t>% PER SALES</t>
  </si>
  <si>
    <t>TOTAL SALES</t>
  </si>
  <si>
    <t>AVERAGE</t>
  </si>
  <si>
    <t>HIGHEST SALES</t>
  </si>
  <si>
    <t>LOWEST SALES</t>
  </si>
  <si>
    <t>TOP 3</t>
  </si>
  <si>
    <t>SALES PER REGION</t>
  </si>
  <si>
    <t>NORTH</t>
  </si>
  <si>
    <t>SOUTH</t>
  </si>
  <si>
    <t>EAST</t>
  </si>
  <si>
    <t>WEST</t>
  </si>
  <si>
    <t>SALES PER CATEGORY</t>
  </si>
  <si>
    <t>TOYS</t>
  </si>
  <si>
    <t>CLOTHING</t>
  </si>
  <si>
    <t>FURNITURE</t>
  </si>
  <si>
    <t>FOOD</t>
  </si>
  <si>
    <t>ELECTRONICS</t>
  </si>
  <si>
    <t>MOVING AVG</t>
  </si>
  <si>
    <t>LOWST SALES</t>
  </si>
  <si>
    <t>AVERAGE SALES</t>
  </si>
  <si>
    <t>Row Labels</t>
  </si>
  <si>
    <t>Grand Total</t>
  </si>
  <si>
    <t>Column Labels</t>
  </si>
  <si>
    <t>Sum of Sales</t>
  </si>
  <si>
    <t>Sum of Profit</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</si>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</sst>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NGN]\ #,##0.00"/>
  </numFmts>
  <fonts count="2" x14ac:knownFonts="1">
    <font>
      <sz val="11"/>
      <color theme="1"/>
      <name val="Calibri"/>
      <family val="2"/>
      <scheme val="minor"/>
    </font>
    <font>
      <strike/>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cellXfs>
  <cellStyles count="1">
    <cellStyle name="Normal" xfId="0" builtinId="0"/>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 DASHBOARD SOLVED.xlsx]SALES AND PRODUCT BY REGION!PivotTable1</c:name>
    <c:fmtId val="0"/>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SALES AND PRODUCT BY REGION</a:t>
            </a:r>
          </a:p>
          <a:p>
            <a:pPr>
              <a:defRPr sz="1100" b="1"/>
            </a:pPr>
            <a:endParaRPr lang="en-US" sz="1100" b="1"/>
          </a:p>
        </c:rich>
      </c:tx>
      <c:layout>
        <c:manualLayout>
          <c:xMode val="edge"/>
          <c:yMode val="edge"/>
          <c:x val="0.21359011373578299"/>
          <c:y val="5.5555555555555552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AND PRODUCT BY REGION'!$B$3:$B$4</c:f>
              <c:strCache>
                <c:ptCount val="1"/>
                <c:pt idx="0">
                  <c:v>East</c:v>
                </c:pt>
              </c:strCache>
            </c:strRef>
          </c:tx>
          <c:spPr>
            <a:solidFill>
              <a:schemeClr val="accent1"/>
            </a:solidFill>
            <a:ln>
              <a:noFill/>
            </a:ln>
            <a:effectLst/>
          </c:spPr>
          <c:invertIfNegative val="0"/>
          <c:cat>
            <c:strRef>
              <c:f>'SALES AND PRODUCT BY REGION'!$A$5:$A$10</c:f>
              <c:strCache>
                <c:ptCount val="5"/>
                <c:pt idx="0">
                  <c:v>Product A</c:v>
                </c:pt>
                <c:pt idx="1">
                  <c:v>Product B</c:v>
                </c:pt>
                <c:pt idx="2">
                  <c:v>Product C</c:v>
                </c:pt>
                <c:pt idx="3">
                  <c:v>Product D</c:v>
                </c:pt>
                <c:pt idx="4">
                  <c:v>Product E</c:v>
                </c:pt>
              </c:strCache>
            </c:strRef>
          </c:cat>
          <c:val>
            <c:numRef>
              <c:f>'SALES AND PRODUCT BY REGION'!$B$5:$B$10</c:f>
              <c:numCache>
                <c:formatCode>General</c:formatCode>
                <c:ptCount val="5"/>
                <c:pt idx="0">
                  <c:v>25909.2382074536</c:v>
                </c:pt>
                <c:pt idx="1">
                  <c:v>23816.329202192286</c:v>
                </c:pt>
                <c:pt idx="2">
                  <c:v>26749.988422696832</c:v>
                </c:pt>
                <c:pt idx="3">
                  <c:v>24695.264654642375</c:v>
                </c:pt>
                <c:pt idx="4">
                  <c:v>29753.778369156153</c:v>
                </c:pt>
              </c:numCache>
            </c:numRef>
          </c:val>
          <c:extLst>
            <c:ext xmlns:c16="http://schemas.microsoft.com/office/drawing/2014/chart" uri="{C3380CC4-5D6E-409C-BE32-E72D297353CC}">
              <c16:uniqueId val="{00000000-1C36-4C33-9A31-2C2A31264BD6}"/>
            </c:ext>
          </c:extLst>
        </c:ser>
        <c:ser>
          <c:idx val="1"/>
          <c:order val="1"/>
          <c:tx>
            <c:strRef>
              <c:f>'SALES AND PRODUCT BY REGION'!$C$3:$C$4</c:f>
              <c:strCache>
                <c:ptCount val="1"/>
                <c:pt idx="0">
                  <c:v>North</c:v>
                </c:pt>
              </c:strCache>
            </c:strRef>
          </c:tx>
          <c:spPr>
            <a:solidFill>
              <a:schemeClr val="accent2"/>
            </a:solidFill>
            <a:ln>
              <a:noFill/>
            </a:ln>
            <a:effectLst/>
          </c:spPr>
          <c:invertIfNegative val="0"/>
          <c:cat>
            <c:strRef>
              <c:f>'SALES AND PRODUCT BY REGION'!$A$5:$A$10</c:f>
              <c:strCache>
                <c:ptCount val="5"/>
                <c:pt idx="0">
                  <c:v>Product A</c:v>
                </c:pt>
                <c:pt idx="1">
                  <c:v>Product B</c:v>
                </c:pt>
                <c:pt idx="2">
                  <c:v>Product C</c:v>
                </c:pt>
                <c:pt idx="3">
                  <c:v>Product D</c:v>
                </c:pt>
                <c:pt idx="4">
                  <c:v>Product E</c:v>
                </c:pt>
              </c:strCache>
            </c:strRef>
          </c:cat>
          <c:val>
            <c:numRef>
              <c:f>'SALES AND PRODUCT BY REGION'!$C$5:$C$10</c:f>
              <c:numCache>
                <c:formatCode>General</c:formatCode>
                <c:ptCount val="5"/>
                <c:pt idx="0">
                  <c:v>29139.762932281534</c:v>
                </c:pt>
                <c:pt idx="1">
                  <c:v>24851.742664442449</c:v>
                </c:pt>
                <c:pt idx="2">
                  <c:v>28003.660599837709</c:v>
                </c:pt>
                <c:pt idx="3">
                  <c:v>27797.51447443604</c:v>
                </c:pt>
                <c:pt idx="4">
                  <c:v>30682.857875864785</c:v>
                </c:pt>
              </c:numCache>
            </c:numRef>
          </c:val>
          <c:extLst>
            <c:ext xmlns:c16="http://schemas.microsoft.com/office/drawing/2014/chart" uri="{C3380CC4-5D6E-409C-BE32-E72D297353CC}">
              <c16:uniqueId val="{00000001-1C36-4C33-9A31-2C2A31264BD6}"/>
            </c:ext>
          </c:extLst>
        </c:ser>
        <c:ser>
          <c:idx val="2"/>
          <c:order val="2"/>
          <c:tx>
            <c:strRef>
              <c:f>'SALES AND PRODUCT BY REGION'!$D$3:$D$4</c:f>
              <c:strCache>
                <c:ptCount val="1"/>
                <c:pt idx="0">
                  <c:v>South</c:v>
                </c:pt>
              </c:strCache>
            </c:strRef>
          </c:tx>
          <c:spPr>
            <a:solidFill>
              <a:schemeClr val="accent3"/>
            </a:solidFill>
            <a:ln>
              <a:noFill/>
            </a:ln>
            <a:effectLst/>
          </c:spPr>
          <c:invertIfNegative val="0"/>
          <c:cat>
            <c:strRef>
              <c:f>'SALES AND PRODUCT BY REGION'!$A$5:$A$10</c:f>
              <c:strCache>
                <c:ptCount val="5"/>
                <c:pt idx="0">
                  <c:v>Product A</c:v>
                </c:pt>
                <c:pt idx="1">
                  <c:v>Product B</c:v>
                </c:pt>
                <c:pt idx="2">
                  <c:v>Product C</c:v>
                </c:pt>
                <c:pt idx="3">
                  <c:v>Product D</c:v>
                </c:pt>
                <c:pt idx="4">
                  <c:v>Product E</c:v>
                </c:pt>
              </c:strCache>
            </c:strRef>
          </c:cat>
          <c:val>
            <c:numRef>
              <c:f>'SALES AND PRODUCT BY REGION'!$D$5:$D$10</c:f>
              <c:numCache>
                <c:formatCode>General</c:formatCode>
                <c:ptCount val="5"/>
                <c:pt idx="0">
                  <c:v>31227.419645733607</c:v>
                </c:pt>
                <c:pt idx="1">
                  <c:v>30169.553449072275</c:v>
                </c:pt>
                <c:pt idx="2">
                  <c:v>22642.760726678149</c:v>
                </c:pt>
                <c:pt idx="3">
                  <c:v>18707.268408505883</c:v>
                </c:pt>
                <c:pt idx="4">
                  <c:v>23399.945576385966</c:v>
                </c:pt>
              </c:numCache>
            </c:numRef>
          </c:val>
          <c:extLst>
            <c:ext xmlns:c16="http://schemas.microsoft.com/office/drawing/2014/chart" uri="{C3380CC4-5D6E-409C-BE32-E72D297353CC}">
              <c16:uniqueId val="{00000002-1C36-4C33-9A31-2C2A31264BD6}"/>
            </c:ext>
          </c:extLst>
        </c:ser>
        <c:ser>
          <c:idx val="3"/>
          <c:order val="3"/>
          <c:tx>
            <c:strRef>
              <c:f>'SALES AND PRODUCT BY REGION'!$E$3:$E$4</c:f>
              <c:strCache>
                <c:ptCount val="1"/>
                <c:pt idx="0">
                  <c:v>West</c:v>
                </c:pt>
              </c:strCache>
            </c:strRef>
          </c:tx>
          <c:spPr>
            <a:solidFill>
              <a:schemeClr val="accent4"/>
            </a:solidFill>
            <a:ln>
              <a:noFill/>
            </a:ln>
            <a:effectLst/>
          </c:spPr>
          <c:invertIfNegative val="0"/>
          <c:cat>
            <c:strRef>
              <c:f>'SALES AND PRODUCT BY REGION'!$A$5:$A$10</c:f>
              <c:strCache>
                <c:ptCount val="5"/>
                <c:pt idx="0">
                  <c:v>Product A</c:v>
                </c:pt>
                <c:pt idx="1">
                  <c:v>Product B</c:v>
                </c:pt>
                <c:pt idx="2">
                  <c:v>Product C</c:v>
                </c:pt>
                <c:pt idx="3">
                  <c:v>Product D</c:v>
                </c:pt>
                <c:pt idx="4">
                  <c:v>Product E</c:v>
                </c:pt>
              </c:strCache>
            </c:strRef>
          </c:cat>
          <c:val>
            <c:numRef>
              <c:f>'SALES AND PRODUCT BY REGION'!$E$5:$E$10</c:f>
              <c:numCache>
                <c:formatCode>General</c:formatCode>
                <c:ptCount val="5"/>
                <c:pt idx="0">
                  <c:v>23458.220970984694</c:v>
                </c:pt>
                <c:pt idx="1">
                  <c:v>24895.628185339439</c:v>
                </c:pt>
                <c:pt idx="2">
                  <c:v>23275.656003690903</c:v>
                </c:pt>
                <c:pt idx="3">
                  <c:v>26552.757841703562</c:v>
                </c:pt>
                <c:pt idx="4">
                  <c:v>23579.627203217769</c:v>
                </c:pt>
              </c:numCache>
            </c:numRef>
          </c:val>
          <c:extLst>
            <c:ext xmlns:c16="http://schemas.microsoft.com/office/drawing/2014/chart" uri="{C3380CC4-5D6E-409C-BE32-E72D297353CC}">
              <c16:uniqueId val="{00000003-1C36-4C33-9A31-2C2A31264BD6}"/>
            </c:ext>
          </c:extLst>
        </c:ser>
        <c:dLbls>
          <c:showLegendKey val="0"/>
          <c:showVal val="0"/>
          <c:showCatName val="0"/>
          <c:showSerName val="0"/>
          <c:showPercent val="0"/>
          <c:showBubbleSize val="0"/>
        </c:dLbls>
        <c:gapWidth val="219"/>
        <c:overlap val="-27"/>
        <c:axId val="755584160"/>
        <c:axId val="755585408"/>
      </c:barChart>
      <c:catAx>
        <c:axId val="75558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585408"/>
        <c:crosses val="autoZero"/>
        <c:auto val="1"/>
        <c:lblAlgn val="ctr"/>
        <c:lblOffset val="100"/>
        <c:noMultiLvlLbl val="0"/>
      </c:catAx>
      <c:valAx>
        <c:axId val="755585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584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 DASHBOARD SOLVED.xlsx]CATEGORY BY PROFIT AND SALES!PivotTable2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CATEGORY</a:t>
            </a:r>
            <a:r>
              <a:rPr lang="en-US" sz="1100" baseline="0"/>
              <a:t> </a:t>
            </a:r>
            <a:r>
              <a:rPr lang="en-US" sz="1100" b="1" baseline="0"/>
              <a:t>BY PROFIT AND SALES</a:t>
            </a:r>
            <a:endParaRPr lang="en-US" sz="1100" b="1"/>
          </a:p>
        </c:rich>
      </c:tx>
      <c:layout>
        <c:manualLayout>
          <c:xMode val="edge"/>
          <c:yMode val="edge"/>
          <c:x val="0.19560411198600175"/>
          <c:y val="9.259259259259258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70669291338582"/>
          <c:y val="7.407407407407407E-2"/>
          <c:w val="0.77973775153105862"/>
          <c:h val="0.8416746864975212"/>
        </c:manualLayout>
      </c:layout>
      <c:barChart>
        <c:barDir val="bar"/>
        <c:grouping val="clustered"/>
        <c:varyColors val="0"/>
        <c:ser>
          <c:idx val="0"/>
          <c:order val="0"/>
          <c:tx>
            <c:strRef>
              <c:f>'CATEGORY BY PROFIT AND SALES'!$B$3</c:f>
              <c:strCache>
                <c:ptCount val="1"/>
                <c:pt idx="0">
                  <c:v>Sum of Profit</c:v>
                </c:pt>
              </c:strCache>
            </c:strRef>
          </c:tx>
          <c:spPr>
            <a:solidFill>
              <a:schemeClr val="accent1"/>
            </a:solidFill>
            <a:ln>
              <a:noFill/>
            </a:ln>
            <a:effectLst/>
          </c:spPr>
          <c:invertIfNegative val="0"/>
          <c:cat>
            <c:strRef>
              <c:f>'CATEGORY BY PROFIT AND SALES'!$A$4:$A$9</c:f>
              <c:strCache>
                <c:ptCount val="5"/>
                <c:pt idx="0">
                  <c:v>Clothing</c:v>
                </c:pt>
                <c:pt idx="1">
                  <c:v>Electronics</c:v>
                </c:pt>
                <c:pt idx="2">
                  <c:v>Food</c:v>
                </c:pt>
                <c:pt idx="3">
                  <c:v>Furniture</c:v>
                </c:pt>
                <c:pt idx="4">
                  <c:v>Toys</c:v>
                </c:pt>
              </c:strCache>
            </c:strRef>
          </c:cat>
          <c:val>
            <c:numRef>
              <c:f>'CATEGORY BY PROFIT AND SALES'!$B$4:$B$9</c:f>
              <c:numCache>
                <c:formatCode>General</c:formatCode>
                <c:ptCount val="5"/>
                <c:pt idx="0">
                  <c:v>16558.092385568409</c:v>
                </c:pt>
                <c:pt idx="1">
                  <c:v>17584.436821654752</c:v>
                </c:pt>
                <c:pt idx="2">
                  <c:v>20578.699268034434</c:v>
                </c:pt>
                <c:pt idx="3">
                  <c:v>16367.616717206711</c:v>
                </c:pt>
                <c:pt idx="4">
                  <c:v>18963.374250133176</c:v>
                </c:pt>
              </c:numCache>
            </c:numRef>
          </c:val>
          <c:extLst>
            <c:ext xmlns:c16="http://schemas.microsoft.com/office/drawing/2014/chart" uri="{C3380CC4-5D6E-409C-BE32-E72D297353CC}">
              <c16:uniqueId val="{00000000-C7C7-4ADC-A4C5-C77AEBAA330D}"/>
            </c:ext>
          </c:extLst>
        </c:ser>
        <c:ser>
          <c:idx val="1"/>
          <c:order val="1"/>
          <c:tx>
            <c:strRef>
              <c:f>'CATEGORY BY PROFIT AND SALES'!$C$3</c:f>
              <c:strCache>
                <c:ptCount val="1"/>
                <c:pt idx="0">
                  <c:v>Sum of Sales</c:v>
                </c:pt>
              </c:strCache>
            </c:strRef>
          </c:tx>
          <c:spPr>
            <a:solidFill>
              <a:schemeClr val="accent2"/>
            </a:solidFill>
            <a:ln>
              <a:noFill/>
            </a:ln>
            <a:effectLst/>
          </c:spPr>
          <c:invertIfNegative val="0"/>
          <c:cat>
            <c:strRef>
              <c:f>'CATEGORY BY PROFIT AND SALES'!$A$4:$A$9</c:f>
              <c:strCache>
                <c:ptCount val="5"/>
                <c:pt idx="0">
                  <c:v>Clothing</c:v>
                </c:pt>
                <c:pt idx="1">
                  <c:v>Electronics</c:v>
                </c:pt>
                <c:pt idx="2">
                  <c:v>Food</c:v>
                </c:pt>
                <c:pt idx="3">
                  <c:v>Furniture</c:v>
                </c:pt>
                <c:pt idx="4">
                  <c:v>Toys</c:v>
                </c:pt>
              </c:strCache>
            </c:strRef>
          </c:cat>
          <c:val>
            <c:numRef>
              <c:f>'CATEGORY BY PROFIT AND SALES'!$C$4:$C$9</c:f>
              <c:numCache>
                <c:formatCode>General</c:formatCode>
                <c:ptCount val="5"/>
                <c:pt idx="0">
                  <c:v>94121.778264782784</c:v>
                </c:pt>
                <c:pt idx="1">
                  <c:v>98811.743894854124</c:v>
                </c:pt>
                <c:pt idx="2">
                  <c:v>118598.88106203086</c:v>
                </c:pt>
                <c:pt idx="3">
                  <c:v>97437.327702874507</c:v>
                </c:pt>
                <c:pt idx="4">
                  <c:v>110339.24448977369</c:v>
                </c:pt>
              </c:numCache>
            </c:numRef>
          </c:val>
          <c:extLst>
            <c:ext xmlns:c16="http://schemas.microsoft.com/office/drawing/2014/chart" uri="{C3380CC4-5D6E-409C-BE32-E72D297353CC}">
              <c16:uniqueId val="{00000001-C7C7-4ADC-A4C5-C77AEBAA330D}"/>
            </c:ext>
          </c:extLst>
        </c:ser>
        <c:dLbls>
          <c:showLegendKey val="0"/>
          <c:showVal val="0"/>
          <c:showCatName val="0"/>
          <c:showSerName val="0"/>
          <c:showPercent val="0"/>
          <c:showBubbleSize val="0"/>
        </c:dLbls>
        <c:gapWidth val="182"/>
        <c:axId val="918158864"/>
        <c:axId val="918153456"/>
      </c:barChart>
      <c:catAx>
        <c:axId val="918158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153456"/>
        <c:crosses val="autoZero"/>
        <c:auto val="1"/>
        <c:lblAlgn val="ctr"/>
        <c:lblOffset val="100"/>
        <c:noMultiLvlLbl val="0"/>
      </c:catAx>
      <c:valAx>
        <c:axId val="918153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158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 DASHBOARD SOLVED.xlsx]MONTHLY SALES TREND!PivotTable4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MONTHLY</a:t>
            </a:r>
            <a:r>
              <a:rPr lang="en-US" sz="1100" b="1" baseline="0"/>
              <a:t> SALES TREND</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TREND'!$B$4:$B$16</c:f>
              <c:numCache>
                <c:formatCode>General</c:formatCode>
                <c:ptCount val="12"/>
                <c:pt idx="0">
                  <c:v>40460.592350616527</c:v>
                </c:pt>
                <c:pt idx="1">
                  <c:v>48182.517809342768</c:v>
                </c:pt>
                <c:pt idx="2">
                  <c:v>33350.957038133456</c:v>
                </c:pt>
                <c:pt idx="3">
                  <c:v>43805.887491271911</c:v>
                </c:pt>
                <c:pt idx="4">
                  <c:v>43487.880253052987</c:v>
                </c:pt>
                <c:pt idx="5">
                  <c:v>39420.297799557076</c:v>
                </c:pt>
                <c:pt idx="6">
                  <c:v>39681.503302673031</c:v>
                </c:pt>
                <c:pt idx="7">
                  <c:v>57243.48283205941</c:v>
                </c:pt>
                <c:pt idx="8">
                  <c:v>45547.924890610615</c:v>
                </c:pt>
                <c:pt idx="9">
                  <c:v>43547.974016413762</c:v>
                </c:pt>
                <c:pt idx="10">
                  <c:v>39392.745324938689</c:v>
                </c:pt>
                <c:pt idx="11">
                  <c:v>45187.212305645866</c:v>
                </c:pt>
              </c:numCache>
            </c:numRef>
          </c:val>
          <c:smooth val="0"/>
          <c:extLst>
            <c:ext xmlns:c16="http://schemas.microsoft.com/office/drawing/2014/chart" uri="{C3380CC4-5D6E-409C-BE32-E72D297353CC}">
              <c16:uniqueId val="{00000000-F243-499C-A5CB-687F38B41253}"/>
            </c:ext>
          </c:extLst>
        </c:ser>
        <c:dLbls>
          <c:showLegendKey val="0"/>
          <c:showVal val="0"/>
          <c:showCatName val="0"/>
          <c:showSerName val="0"/>
          <c:showPercent val="0"/>
          <c:showBubbleSize val="0"/>
        </c:dLbls>
        <c:marker val="1"/>
        <c:smooth val="0"/>
        <c:axId val="568487984"/>
        <c:axId val="568488816"/>
      </c:lineChart>
      <c:catAx>
        <c:axId val="56848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488816"/>
        <c:crosses val="autoZero"/>
        <c:auto val="1"/>
        <c:lblAlgn val="ctr"/>
        <c:lblOffset val="100"/>
        <c:noMultiLvlLbl val="0"/>
      </c:catAx>
      <c:valAx>
        <c:axId val="568488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48798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 DASHBOARD SOLVED.xlsx]SALES AND PRODUCT BY REGION!PivotTable1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SALES AND PRODUCT BY REGION</a:t>
            </a:r>
          </a:p>
          <a:p>
            <a:pPr>
              <a:defRPr b="1"/>
            </a:pPr>
            <a:endParaRPr lang="en-US" sz="1400" b="1"/>
          </a:p>
        </c:rich>
      </c:tx>
      <c:layout>
        <c:manualLayout>
          <c:xMode val="edge"/>
          <c:yMode val="edge"/>
          <c:x val="0.21359014917807856"/>
          <c:y val="3.3815825762636294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AND PRODUCT BY REGION'!$B$3:$B$4</c:f>
              <c:strCache>
                <c:ptCount val="1"/>
                <c:pt idx="0">
                  <c:v>East</c:v>
                </c:pt>
              </c:strCache>
            </c:strRef>
          </c:tx>
          <c:spPr>
            <a:solidFill>
              <a:schemeClr val="accent1"/>
            </a:solidFill>
            <a:ln>
              <a:noFill/>
            </a:ln>
            <a:effectLst/>
          </c:spPr>
          <c:invertIfNegative val="0"/>
          <c:cat>
            <c:strRef>
              <c:f>'SALES AND PRODUCT BY REGION'!$A$5:$A$10</c:f>
              <c:strCache>
                <c:ptCount val="5"/>
                <c:pt idx="0">
                  <c:v>Product A</c:v>
                </c:pt>
                <c:pt idx="1">
                  <c:v>Product B</c:v>
                </c:pt>
                <c:pt idx="2">
                  <c:v>Product C</c:v>
                </c:pt>
                <c:pt idx="3">
                  <c:v>Product D</c:v>
                </c:pt>
                <c:pt idx="4">
                  <c:v>Product E</c:v>
                </c:pt>
              </c:strCache>
            </c:strRef>
          </c:cat>
          <c:val>
            <c:numRef>
              <c:f>'SALES AND PRODUCT BY REGION'!$B$5:$B$10</c:f>
              <c:numCache>
                <c:formatCode>General</c:formatCode>
                <c:ptCount val="5"/>
                <c:pt idx="0">
                  <c:v>25909.2382074536</c:v>
                </c:pt>
                <c:pt idx="1">
                  <c:v>23816.329202192286</c:v>
                </c:pt>
                <c:pt idx="2">
                  <c:v>26749.988422696832</c:v>
                </c:pt>
                <c:pt idx="3">
                  <c:v>24695.264654642375</c:v>
                </c:pt>
                <c:pt idx="4">
                  <c:v>29753.778369156153</c:v>
                </c:pt>
              </c:numCache>
            </c:numRef>
          </c:val>
          <c:extLst>
            <c:ext xmlns:c16="http://schemas.microsoft.com/office/drawing/2014/chart" uri="{C3380CC4-5D6E-409C-BE32-E72D297353CC}">
              <c16:uniqueId val="{00000000-39EF-45D4-B152-CCE4BDC97EDD}"/>
            </c:ext>
          </c:extLst>
        </c:ser>
        <c:ser>
          <c:idx val="1"/>
          <c:order val="1"/>
          <c:tx>
            <c:strRef>
              <c:f>'SALES AND PRODUCT BY REGION'!$C$3:$C$4</c:f>
              <c:strCache>
                <c:ptCount val="1"/>
                <c:pt idx="0">
                  <c:v>North</c:v>
                </c:pt>
              </c:strCache>
            </c:strRef>
          </c:tx>
          <c:spPr>
            <a:solidFill>
              <a:schemeClr val="accent2"/>
            </a:solidFill>
            <a:ln>
              <a:noFill/>
            </a:ln>
            <a:effectLst/>
          </c:spPr>
          <c:invertIfNegative val="0"/>
          <c:cat>
            <c:strRef>
              <c:f>'SALES AND PRODUCT BY REGION'!$A$5:$A$10</c:f>
              <c:strCache>
                <c:ptCount val="5"/>
                <c:pt idx="0">
                  <c:v>Product A</c:v>
                </c:pt>
                <c:pt idx="1">
                  <c:v>Product B</c:v>
                </c:pt>
                <c:pt idx="2">
                  <c:v>Product C</c:v>
                </c:pt>
                <c:pt idx="3">
                  <c:v>Product D</c:v>
                </c:pt>
                <c:pt idx="4">
                  <c:v>Product E</c:v>
                </c:pt>
              </c:strCache>
            </c:strRef>
          </c:cat>
          <c:val>
            <c:numRef>
              <c:f>'SALES AND PRODUCT BY REGION'!$C$5:$C$10</c:f>
              <c:numCache>
                <c:formatCode>General</c:formatCode>
                <c:ptCount val="5"/>
                <c:pt idx="0">
                  <c:v>29139.762932281534</c:v>
                </c:pt>
                <c:pt idx="1">
                  <c:v>24851.742664442449</c:v>
                </c:pt>
                <c:pt idx="2">
                  <c:v>28003.660599837709</c:v>
                </c:pt>
                <c:pt idx="3">
                  <c:v>27797.51447443604</c:v>
                </c:pt>
                <c:pt idx="4">
                  <c:v>30682.857875864785</c:v>
                </c:pt>
              </c:numCache>
            </c:numRef>
          </c:val>
          <c:extLst>
            <c:ext xmlns:c16="http://schemas.microsoft.com/office/drawing/2014/chart" uri="{C3380CC4-5D6E-409C-BE32-E72D297353CC}">
              <c16:uniqueId val="{00000001-39EF-45D4-B152-CCE4BDC97EDD}"/>
            </c:ext>
          </c:extLst>
        </c:ser>
        <c:ser>
          <c:idx val="2"/>
          <c:order val="2"/>
          <c:tx>
            <c:strRef>
              <c:f>'SALES AND PRODUCT BY REGION'!$D$3:$D$4</c:f>
              <c:strCache>
                <c:ptCount val="1"/>
                <c:pt idx="0">
                  <c:v>South</c:v>
                </c:pt>
              </c:strCache>
            </c:strRef>
          </c:tx>
          <c:spPr>
            <a:solidFill>
              <a:schemeClr val="accent3"/>
            </a:solidFill>
            <a:ln>
              <a:noFill/>
            </a:ln>
            <a:effectLst/>
          </c:spPr>
          <c:invertIfNegative val="0"/>
          <c:cat>
            <c:strRef>
              <c:f>'SALES AND PRODUCT BY REGION'!$A$5:$A$10</c:f>
              <c:strCache>
                <c:ptCount val="5"/>
                <c:pt idx="0">
                  <c:v>Product A</c:v>
                </c:pt>
                <c:pt idx="1">
                  <c:v>Product B</c:v>
                </c:pt>
                <c:pt idx="2">
                  <c:v>Product C</c:v>
                </c:pt>
                <c:pt idx="3">
                  <c:v>Product D</c:v>
                </c:pt>
                <c:pt idx="4">
                  <c:v>Product E</c:v>
                </c:pt>
              </c:strCache>
            </c:strRef>
          </c:cat>
          <c:val>
            <c:numRef>
              <c:f>'SALES AND PRODUCT BY REGION'!$D$5:$D$10</c:f>
              <c:numCache>
                <c:formatCode>General</c:formatCode>
                <c:ptCount val="5"/>
                <c:pt idx="0">
                  <c:v>31227.419645733607</c:v>
                </c:pt>
                <c:pt idx="1">
                  <c:v>30169.553449072275</c:v>
                </c:pt>
                <c:pt idx="2">
                  <c:v>22642.760726678149</c:v>
                </c:pt>
                <c:pt idx="3">
                  <c:v>18707.268408505883</c:v>
                </c:pt>
                <c:pt idx="4">
                  <c:v>23399.945576385966</c:v>
                </c:pt>
              </c:numCache>
            </c:numRef>
          </c:val>
          <c:extLst>
            <c:ext xmlns:c16="http://schemas.microsoft.com/office/drawing/2014/chart" uri="{C3380CC4-5D6E-409C-BE32-E72D297353CC}">
              <c16:uniqueId val="{00000002-39EF-45D4-B152-CCE4BDC97EDD}"/>
            </c:ext>
          </c:extLst>
        </c:ser>
        <c:ser>
          <c:idx val="3"/>
          <c:order val="3"/>
          <c:tx>
            <c:strRef>
              <c:f>'SALES AND PRODUCT BY REGION'!$E$3:$E$4</c:f>
              <c:strCache>
                <c:ptCount val="1"/>
                <c:pt idx="0">
                  <c:v>West</c:v>
                </c:pt>
              </c:strCache>
            </c:strRef>
          </c:tx>
          <c:spPr>
            <a:solidFill>
              <a:schemeClr val="accent4"/>
            </a:solidFill>
            <a:ln>
              <a:noFill/>
            </a:ln>
            <a:effectLst/>
          </c:spPr>
          <c:invertIfNegative val="0"/>
          <c:cat>
            <c:strRef>
              <c:f>'SALES AND PRODUCT BY REGION'!$A$5:$A$10</c:f>
              <c:strCache>
                <c:ptCount val="5"/>
                <c:pt idx="0">
                  <c:v>Product A</c:v>
                </c:pt>
                <c:pt idx="1">
                  <c:v>Product B</c:v>
                </c:pt>
                <c:pt idx="2">
                  <c:v>Product C</c:v>
                </c:pt>
                <c:pt idx="3">
                  <c:v>Product D</c:v>
                </c:pt>
                <c:pt idx="4">
                  <c:v>Product E</c:v>
                </c:pt>
              </c:strCache>
            </c:strRef>
          </c:cat>
          <c:val>
            <c:numRef>
              <c:f>'SALES AND PRODUCT BY REGION'!$E$5:$E$10</c:f>
              <c:numCache>
                <c:formatCode>General</c:formatCode>
                <c:ptCount val="5"/>
                <c:pt idx="0">
                  <c:v>23458.220970984694</c:v>
                </c:pt>
                <c:pt idx="1">
                  <c:v>24895.628185339439</c:v>
                </c:pt>
                <c:pt idx="2">
                  <c:v>23275.656003690903</c:v>
                </c:pt>
                <c:pt idx="3">
                  <c:v>26552.757841703562</c:v>
                </c:pt>
                <c:pt idx="4">
                  <c:v>23579.627203217769</c:v>
                </c:pt>
              </c:numCache>
            </c:numRef>
          </c:val>
          <c:extLst>
            <c:ext xmlns:c16="http://schemas.microsoft.com/office/drawing/2014/chart" uri="{C3380CC4-5D6E-409C-BE32-E72D297353CC}">
              <c16:uniqueId val="{00000003-39EF-45D4-B152-CCE4BDC97EDD}"/>
            </c:ext>
          </c:extLst>
        </c:ser>
        <c:dLbls>
          <c:showLegendKey val="0"/>
          <c:showVal val="0"/>
          <c:showCatName val="0"/>
          <c:showSerName val="0"/>
          <c:showPercent val="0"/>
          <c:showBubbleSize val="0"/>
        </c:dLbls>
        <c:gapWidth val="219"/>
        <c:overlap val="-27"/>
        <c:axId val="755584160"/>
        <c:axId val="755585408"/>
      </c:barChart>
      <c:catAx>
        <c:axId val="75558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755585408"/>
        <c:crosses val="autoZero"/>
        <c:auto val="1"/>
        <c:lblAlgn val="ctr"/>
        <c:lblOffset val="100"/>
        <c:noMultiLvlLbl val="0"/>
      </c:catAx>
      <c:valAx>
        <c:axId val="755585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755584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 DASHBOARD SOLVED.xlsx]CATEGORY BY PROFIT AND SALES!PivotTable2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CATEGORY</a:t>
            </a:r>
            <a:r>
              <a:rPr lang="en-US" sz="1400" b="1" baseline="0"/>
              <a:t> BY PROFIT AND SALES</a:t>
            </a:r>
            <a:endParaRPr lang="en-US" sz="1400" b="1"/>
          </a:p>
        </c:rich>
      </c:tx>
      <c:layout>
        <c:manualLayout>
          <c:xMode val="edge"/>
          <c:yMode val="edge"/>
          <c:x val="0.18929670331853418"/>
          <c:y val="2.476694372710059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81780402449694"/>
          <c:y val="7.407407407407407E-2"/>
          <c:w val="0.77973775153105862"/>
          <c:h val="0.8416746864975212"/>
        </c:manualLayout>
      </c:layout>
      <c:barChart>
        <c:barDir val="bar"/>
        <c:grouping val="clustered"/>
        <c:varyColors val="0"/>
        <c:ser>
          <c:idx val="0"/>
          <c:order val="0"/>
          <c:tx>
            <c:strRef>
              <c:f>'CATEGORY BY PROFIT AND SALES'!$B$3</c:f>
              <c:strCache>
                <c:ptCount val="1"/>
                <c:pt idx="0">
                  <c:v>Sum of Profit</c:v>
                </c:pt>
              </c:strCache>
            </c:strRef>
          </c:tx>
          <c:spPr>
            <a:solidFill>
              <a:schemeClr val="accent1"/>
            </a:solidFill>
            <a:ln>
              <a:noFill/>
            </a:ln>
            <a:effectLst/>
          </c:spPr>
          <c:invertIfNegative val="0"/>
          <c:cat>
            <c:strRef>
              <c:f>'CATEGORY BY PROFIT AND SALES'!$A$4:$A$9</c:f>
              <c:strCache>
                <c:ptCount val="5"/>
                <c:pt idx="0">
                  <c:v>Clothing</c:v>
                </c:pt>
                <c:pt idx="1">
                  <c:v>Electronics</c:v>
                </c:pt>
                <c:pt idx="2">
                  <c:v>Food</c:v>
                </c:pt>
                <c:pt idx="3">
                  <c:v>Furniture</c:v>
                </c:pt>
                <c:pt idx="4">
                  <c:v>Toys</c:v>
                </c:pt>
              </c:strCache>
            </c:strRef>
          </c:cat>
          <c:val>
            <c:numRef>
              <c:f>'CATEGORY BY PROFIT AND SALES'!$B$4:$B$9</c:f>
              <c:numCache>
                <c:formatCode>General</c:formatCode>
                <c:ptCount val="5"/>
                <c:pt idx="0">
                  <c:v>16558.092385568409</c:v>
                </c:pt>
                <c:pt idx="1">
                  <c:v>17584.436821654752</c:v>
                </c:pt>
                <c:pt idx="2">
                  <c:v>20578.699268034434</c:v>
                </c:pt>
                <c:pt idx="3">
                  <c:v>16367.616717206711</c:v>
                </c:pt>
                <c:pt idx="4">
                  <c:v>18963.374250133176</c:v>
                </c:pt>
              </c:numCache>
            </c:numRef>
          </c:val>
          <c:extLst>
            <c:ext xmlns:c16="http://schemas.microsoft.com/office/drawing/2014/chart" uri="{C3380CC4-5D6E-409C-BE32-E72D297353CC}">
              <c16:uniqueId val="{00000000-2263-4B5B-90F0-FDB13264D71B}"/>
            </c:ext>
          </c:extLst>
        </c:ser>
        <c:ser>
          <c:idx val="1"/>
          <c:order val="1"/>
          <c:tx>
            <c:strRef>
              <c:f>'CATEGORY BY PROFIT AND SALES'!$C$3</c:f>
              <c:strCache>
                <c:ptCount val="1"/>
                <c:pt idx="0">
                  <c:v>Sum of Sales</c:v>
                </c:pt>
              </c:strCache>
            </c:strRef>
          </c:tx>
          <c:spPr>
            <a:solidFill>
              <a:schemeClr val="accent2"/>
            </a:solidFill>
            <a:ln>
              <a:noFill/>
            </a:ln>
            <a:effectLst/>
          </c:spPr>
          <c:invertIfNegative val="0"/>
          <c:cat>
            <c:strRef>
              <c:f>'CATEGORY BY PROFIT AND SALES'!$A$4:$A$9</c:f>
              <c:strCache>
                <c:ptCount val="5"/>
                <c:pt idx="0">
                  <c:v>Clothing</c:v>
                </c:pt>
                <c:pt idx="1">
                  <c:v>Electronics</c:v>
                </c:pt>
                <c:pt idx="2">
                  <c:v>Food</c:v>
                </c:pt>
                <c:pt idx="3">
                  <c:v>Furniture</c:v>
                </c:pt>
                <c:pt idx="4">
                  <c:v>Toys</c:v>
                </c:pt>
              </c:strCache>
            </c:strRef>
          </c:cat>
          <c:val>
            <c:numRef>
              <c:f>'CATEGORY BY PROFIT AND SALES'!$C$4:$C$9</c:f>
              <c:numCache>
                <c:formatCode>General</c:formatCode>
                <c:ptCount val="5"/>
                <c:pt idx="0">
                  <c:v>94121.778264782784</c:v>
                </c:pt>
                <c:pt idx="1">
                  <c:v>98811.743894854124</c:v>
                </c:pt>
                <c:pt idx="2">
                  <c:v>118598.88106203086</c:v>
                </c:pt>
                <c:pt idx="3">
                  <c:v>97437.327702874507</c:v>
                </c:pt>
                <c:pt idx="4">
                  <c:v>110339.24448977369</c:v>
                </c:pt>
              </c:numCache>
            </c:numRef>
          </c:val>
          <c:extLst>
            <c:ext xmlns:c16="http://schemas.microsoft.com/office/drawing/2014/chart" uri="{C3380CC4-5D6E-409C-BE32-E72D297353CC}">
              <c16:uniqueId val="{00000001-2263-4B5B-90F0-FDB13264D71B}"/>
            </c:ext>
          </c:extLst>
        </c:ser>
        <c:dLbls>
          <c:showLegendKey val="0"/>
          <c:showVal val="0"/>
          <c:showCatName val="0"/>
          <c:showSerName val="0"/>
          <c:showPercent val="0"/>
          <c:showBubbleSize val="0"/>
        </c:dLbls>
        <c:gapWidth val="182"/>
        <c:axId val="918158864"/>
        <c:axId val="918153456"/>
      </c:barChart>
      <c:catAx>
        <c:axId val="918158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918153456"/>
        <c:crosses val="autoZero"/>
        <c:auto val="1"/>
        <c:lblAlgn val="ctr"/>
        <c:lblOffset val="100"/>
        <c:noMultiLvlLbl val="0"/>
      </c:catAx>
      <c:valAx>
        <c:axId val="918153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918158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 DASHBOARD SOLVED.xlsx]MONTHLY SALES TREND!PivotTable4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MONTHLY</a:t>
            </a:r>
            <a:r>
              <a:rPr lang="en-US" sz="1400" b="1" baseline="0"/>
              <a:t> SALES TREND</a:t>
            </a:r>
            <a:endParaRPr lang="en-US" sz="1400" b="1"/>
          </a:p>
        </c:rich>
      </c:tx>
      <c:layout>
        <c:manualLayout>
          <c:xMode val="edge"/>
          <c:yMode val="edge"/>
          <c:x val="0.3260882744166326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TREND'!$B$4:$B$16</c:f>
              <c:numCache>
                <c:formatCode>General</c:formatCode>
                <c:ptCount val="12"/>
                <c:pt idx="0">
                  <c:v>40460.592350616527</c:v>
                </c:pt>
                <c:pt idx="1">
                  <c:v>48182.517809342768</c:v>
                </c:pt>
                <c:pt idx="2">
                  <c:v>33350.957038133456</c:v>
                </c:pt>
                <c:pt idx="3">
                  <c:v>43805.887491271911</c:v>
                </c:pt>
                <c:pt idx="4">
                  <c:v>43487.880253052987</c:v>
                </c:pt>
                <c:pt idx="5">
                  <c:v>39420.297799557076</c:v>
                </c:pt>
                <c:pt idx="6">
                  <c:v>39681.503302673031</c:v>
                </c:pt>
                <c:pt idx="7">
                  <c:v>57243.48283205941</c:v>
                </c:pt>
                <c:pt idx="8">
                  <c:v>45547.924890610615</c:v>
                </c:pt>
                <c:pt idx="9">
                  <c:v>43547.974016413762</c:v>
                </c:pt>
                <c:pt idx="10">
                  <c:v>39392.745324938689</c:v>
                </c:pt>
                <c:pt idx="11">
                  <c:v>45187.212305645866</c:v>
                </c:pt>
              </c:numCache>
            </c:numRef>
          </c:val>
          <c:smooth val="0"/>
          <c:extLst>
            <c:ext xmlns:c16="http://schemas.microsoft.com/office/drawing/2014/chart" uri="{C3380CC4-5D6E-409C-BE32-E72D297353CC}">
              <c16:uniqueId val="{00000000-9202-4B24-9F07-9ACF7A6FAC31}"/>
            </c:ext>
          </c:extLst>
        </c:ser>
        <c:dLbls>
          <c:showLegendKey val="0"/>
          <c:showVal val="0"/>
          <c:showCatName val="0"/>
          <c:showSerName val="0"/>
          <c:showPercent val="0"/>
          <c:showBubbleSize val="0"/>
        </c:dLbls>
        <c:marker val="1"/>
        <c:smooth val="0"/>
        <c:axId val="568487984"/>
        <c:axId val="568488816"/>
      </c:lineChart>
      <c:catAx>
        <c:axId val="56848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568488816"/>
        <c:crosses val="autoZero"/>
        <c:auto val="1"/>
        <c:lblAlgn val="ctr"/>
        <c:lblOffset val="100"/>
        <c:noMultiLvlLbl val="0"/>
      </c:catAx>
      <c:valAx>
        <c:axId val="568488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56848798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95250</xdr:colOff>
      <xdr:row>3</xdr:row>
      <xdr:rowOff>0</xdr:rowOff>
    </xdr:from>
    <xdr:to>
      <xdr:col>9</xdr:col>
      <xdr:colOff>628650</xdr:colOff>
      <xdr:row>16</xdr:row>
      <xdr:rowOff>171450</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D2FEE173-1E55-47E8-96F2-329874B0766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010275" y="5429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102393</xdr:colOff>
      <xdr:row>11</xdr:row>
      <xdr:rowOff>35719</xdr:rowOff>
    </xdr:from>
    <xdr:to>
      <xdr:col>6</xdr:col>
      <xdr:colOff>269081</xdr:colOff>
      <xdr:row>26</xdr:row>
      <xdr:rowOff>64294</xdr:rowOff>
    </xdr:to>
    <xdr:graphicFrame macro="">
      <xdr:nvGraphicFramePr>
        <xdr:cNvPr id="3" name="Chart 2">
          <a:extLst>
            <a:ext uri="{FF2B5EF4-FFF2-40B4-BE49-F238E27FC236}">
              <a16:creationId xmlns:a16="http://schemas.microsoft.com/office/drawing/2014/main" id="{26CD0B30-C154-452D-AA4A-C1DE3AD3AA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147637</xdr:colOff>
      <xdr:row>1</xdr:row>
      <xdr:rowOff>100013</xdr:rowOff>
    </xdr:from>
    <xdr:to>
      <xdr:col>10</xdr:col>
      <xdr:colOff>33337</xdr:colOff>
      <xdr:row>15</xdr:row>
      <xdr:rowOff>90488</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90E61108-526A-43D3-9573-EBBEA06D42B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76850" y="28098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297656</xdr:colOff>
      <xdr:row>12</xdr:row>
      <xdr:rowOff>30956</xdr:rowOff>
    </xdr:from>
    <xdr:to>
      <xdr:col>6</xdr:col>
      <xdr:colOff>388143</xdr:colOff>
      <xdr:row>27</xdr:row>
      <xdr:rowOff>59531</xdr:rowOff>
    </xdr:to>
    <xdr:graphicFrame macro="">
      <xdr:nvGraphicFramePr>
        <xdr:cNvPr id="3" name="Chart 2">
          <a:extLst>
            <a:ext uri="{FF2B5EF4-FFF2-40B4-BE49-F238E27FC236}">
              <a16:creationId xmlns:a16="http://schemas.microsoft.com/office/drawing/2014/main" id="{32BE64C5-340A-4353-A13C-A9CC0CECC0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366712</xdr:colOff>
      <xdr:row>2</xdr:row>
      <xdr:rowOff>52387</xdr:rowOff>
    </xdr:from>
    <xdr:to>
      <xdr:col>6</xdr:col>
      <xdr:colOff>252412</xdr:colOff>
      <xdr:row>16</xdr:row>
      <xdr:rowOff>42862</xdr:rowOff>
    </xdr:to>
    <mc:AlternateContent xmlns:mc="http://schemas.openxmlformats.org/markup-compatibility/2006" xmlns:a14="http://schemas.microsoft.com/office/drawing/2010/main">
      <mc:Choice Requires="a14">
        <xdr:graphicFrame macro="">
          <xdr:nvGraphicFramePr>
            <xdr:cNvPr id="2" name="Product 1">
              <a:extLst>
                <a:ext uri="{FF2B5EF4-FFF2-40B4-BE49-F238E27FC236}">
                  <a16:creationId xmlns:a16="http://schemas.microsoft.com/office/drawing/2014/main" id="{CD5489E5-7192-4D9A-AEEC-8279842AE22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714625" y="41433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404812</xdr:colOff>
      <xdr:row>2</xdr:row>
      <xdr:rowOff>47625</xdr:rowOff>
    </xdr:from>
    <xdr:to>
      <xdr:col>9</xdr:col>
      <xdr:colOff>290512</xdr:colOff>
      <xdr:row>16</xdr:row>
      <xdr:rowOff>38100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7E7504C3-BEA1-4E9E-8118-693469B354A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695825" y="409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483393</xdr:colOff>
      <xdr:row>2</xdr:row>
      <xdr:rowOff>26194</xdr:rowOff>
    </xdr:from>
    <xdr:to>
      <xdr:col>16</xdr:col>
      <xdr:colOff>521493</xdr:colOff>
      <xdr:row>17</xdr:row>
      <xdr:rowOff>54769</xdr:rowOff>
    </xdr:to>
    <xdr:graphicFrame macro="">
      <xdr:nvGraphicFramePr>
        <xdr:cNvPr id="4" name="Chart 3">
          <a:extLst>
            <a:ext uri="{FF2B5EF4-FFF2-40B4-BE49-F238E27FC236}">
              <a16:creationId xmlns:a16="http://schemas.microsoft.com/office/drawing/2014/main" id="{2350B0A1-57C0-409C-956E-CC6890DBA9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333376</xdr:colOff>
      <xdr:row>7</xdr:row>
      <xdr:rowOff>158750</xdr:rowOff>
    </xdr:from>
    <xdr:to>
      <xdr:col>33</xdr:col>
      <xdr:colOff>587375</xdr:colOff>
      <xdr:row>56</xdr:row>
      <xdr:rowOff>27778</xdr:rowOff>
    </xdr:to>
    <xdr:sp macro="" textlink="">
      <xdr:nvSpPr>
        <xdr:cNvPr id="2" name="Rectangle 1">
          <a:extLst>
            <a:ext uri="{FF2B5EF4-FFF2-40B4-BE49-F238E27FC236}">
              <a16:creationId xmlns:a16="http://schemas.microsoft.com/office/drawing/2014/main" id="{6C7D6D79-1B8C-4E93-A91B-62C41E074ECD}"/>
            </a:ext>
          </a:extLst>
        </xdr:cNvPr>
        <xdr:cNvSpPr/>
      </xdr:nvSpPr>
      <xdr:spPr>
        <a:xfrm>
          <a:off x="2936876" y="1436688"/>
          <a:ext cx="19129374" cy="8814590"/>
        </a:xfrm>
        <a:prstGeom prst="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531813</xdr:colOff>
      <xdr:row>8</xdr:row>
      <xdr:rowOff>166688</xdr:rowOff>
    </xdr:from>
    <xdr:to>
      <xdr:col>33</xdr:col>
      <xdr:colOff>349250</xdr:colOff>
      <xdr:row>17</xdr:row>
      <xdr:rowOff>7937</xdr:rowOff>
    </xdr:to>
    <xdr:sp macro="" textlink="">
      <xdr:nvSpPr>
        <xdr:cNvPr id="3" name="TextBox 2">
          <a:extLst>
            <a:ext uri="{FF2B5EF4-FFF2-40B4-BE49-F238E27FC236}">
              <a16:creationId xmlns:a16="http://schemas.microsoft.com/office/drawing/2014/main" id="{252EAA43-143E-4233-BD7D-DC9B47C9BA6F}"/>
            </a:ext>
          </a:extLst>
        </xdr:cNvPr>
        <xdr:cNvSpPr txBox="1"/>
      </xdr:nvSpPr>
      <xdr:spPr>
        <a:xfrm>
          <a:off x="3135313" y="1627188"/>
          <a:ext cx="18692812" cy="148431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4</xdr:col>
      <xdr:colOff>508000</xdr:colOff>
      <xdr:row>17</xdr:row>
      <xdr:rowOff>150813</xdr:rowOff>
    </xdr:from>
    <xdr:to>
      <xdr:col>14</xdr:col>
      <xdr:colOff>357188</xdr:colOff>
      <xdr:row>40</xdr:row>
      <xdr:rowOff>127000</xdr:rowOff>
    </xdr:to>
    <xdr:sp macro="" textlink="">
      <xdr:nvSpPr>
        <xdr:cNvPr id="4" name="TextBox 3">
          <a:extLst>
            <a:ext uri="{FF2B5EF4-FFF2-40B4-BE49-F238E27FC236}">
              <a16:creationId xmlns:a16="http://schemas.microsoft.com/office/drawing/2014/main" id="{22B5D7A7-72EA-4EBB-9C10-9FB53FF71853}"/>
            </a:ext>
          </a:extLst>
        </xdr:cNvPr>
        <xdr:cNvSpPr txBox="1"/>
      </xdr:nvSpPr>
      <xdr:spPr>
        <a:xfrm>
          <a:off x="3111500" y="3254376"/>
          <a:ext cx="6357938" cy="41751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14</xdr:col>
      <xdr:colOff>492125</xdr:colOff>
      <xdr:row>17</xdr:row>
      <xdr:rowOff>142875</xdr:rowOff>
    </xdr:from>
    <xdr:to>
      <xdr:col>24</xdr:col>
      <xdr:colOff>412751</xdr:colOff>
      <xdr:row>40</xdr:row>
      <xdr:rowOff>119063</xdr:rowOff>
    </xdr:to>
    <xdr:sp macro="" textlink="">
      <xdr:nvSpPr>
        <xdr:cNvPr id="5" name="TextBox 4">
          <a:extLst>
            <a:ext uri="{FF2B5EF4-FFF2-40B4-BE49-F238E27FC236}">
              <a16:creationId xmlns:a16="http://schemas.microsoft.com/office/drawing/2014/main" id="{79631BF8-0775-4D0E-8652-DD35B3F2F447}"/>
            </a:ext>
          </a:extLst>
        </xdr:cNvPr>
        <xdr:cNvSpPr txBox="1"/>
      </xdr:nvSpPr>
      <xdr:spPr>
        <a:xfrm>
          <a:off x="9604375" y="3246438"/>
          <a:ext cx="6429376" cy="4175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24</xdr:col>
      <xdr:colOff>531813</xdr:colOff>
      <xdr:row>17</xdr:row>
      <xdr:rowOff>142875</xdr:rowOff>
    </xdr:from>
    <xdr:to>
      <xdr:col>33</xdr:col>
      <xdr:colOff>341313</xdr:colOff>
      <xdr:row>40</xdr:row>
      <xdr:rowOff>119063</xdr:rowOff>
    </xdr:to>
    <xdr:sp macro="" textlink="">
      <xdr:nvSpPr>
        <xdr:cNvPr id="6" name="TextBox 5">
          <a:extLst>
            <a:ext uri="{FF2B5EF4-FFF2-40B4-BE49-F238E27FC236}">
              <a16:creationId xmlns:a16="http://schemas.microsoft.com/office/drawing/2014/main" id="{38D7FB28-5253-401E-9297-FF409870EEF6}"/>
            </a:ext>
          </a:extLst>
        </xdr:cNvPr>
        <xdr:cNvSpPr txBox="1"/>
      </xdr:nvSpPr>
      <xdr:spPr>
        <a:xfrm>
          <a:off x="16152813" y="3246438"/>
          <a:ext cx="5667375" cy="4175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4</xdr:col>
      <xdr:colOff>484187</xdr:colOff>
      <xdr:row>41</xdr:row>
      <xdr:rowOff>119063</xdr:rowOff>
    </xdr:from>
    <xdr:to>
      <xdr:col>33</xdr:col>
      <xdr:colOff>380999</xdr:colOff>
      <xdr:row>55</xdr:row>
      <xdr:rowOff>7938</xdr:rowOff>
    </xdr:to>
    <xdr:sp macro="" textlink="">
      <xdr:nvSpPr>
        <xdr:cNvPr id="7" name="TextBox 6">
          <a:extLst>
            <a:ext uri="{FF2B5EF4-FFF2-40B4-BE49-F238E27FC236}">
              <a16:creationId xmlns:a16="http://schemas.microsoft.com/office/drawing/2014/main" id="{4FA12832-8305-4552-BE35-DCD18A26EAE4}"/>
            </a:ext>
          </a:extLst>
        </xdr:cNvPr>
        <xdr:cNvSpPr txBox="1"/>
      </xdr:nvSpPr>
      <xdr:spPr>
        <a:xfrm>
          <a:off x="3087687" y="7604126"/>
          <a:ext cx="18772187" cy="2444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5</xdr:col>
      <xdr:colOff>111126</xdr:colOff>
      <xdr:row>9</xdr:row>
      <xdr:rowOff>161925</xdr:rowOff>
    </xdr:from>
    <xdr:to>
      <xdr:col>18</xdr:col>
      <xdr:colOff>523875</xdr:colOff>
      <xdr:row>15</xdr:row>
      <xdr:rowOff>174627</xdr:rowOff>
    </xdr:to>
    <xdr:sp macro="" textlink="">
      <xdr:nvSpPr>
        <xdr:cNvPr id="8" name="TextBox 7">
          <a:extLst>
            <a:ext uri="{FF2B5EF4-FFF2-40B4-BE49-F238E27FC236}">
              <a16:creationId xmlns:a16="http://schemas.microsoft.com/office/drawing/2014/main" id="{04BA8326-E70D-4CBC-AF68-63E599C2F9E2}"/>
            </a:ext>
          </a:extLst>
        </xdr:cNvPr>
        <xdr:cNvSpPr txBox="1"/>
      </xdr:nvSpPr>
      <xdr:spPr>
        <a:xfrm>
          <a:off x="3349626" y="1790701"/>
          <a:ext cx="8832849" cy="1098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accent1"/>
              </a:solidFill>
            </a:rPr>
            <a:t>SALES ANALYSIS DASHBOARD</a:t>
          </a:r>
        </a:p>
      </xdr:txBody>
    </xdr:sp>
    <xdr:clientData/>
  </xdr:twoCellAnchor>
  <xdr:oneCellAnchor>
    <xdr:from>
      <xdr:col>25</xdr:col>
      <xdr:colOff>114300</xdr:colOff>
      <xdr:row>9</xdr:row>
      <xdr:rowOff>71437</xdr:rowOff>
    </xdr:from>
    <xdr:ext cx="5010150" cy="563263"/>
    <xdr:sp macro="" textlink="">
      <xdr:nvSpPr>
        <xdr:cNvPr id="16" name="TextBox 15">
          <a:extLst>
            <a:ext uri="{FF2B5EF4-FFF2-40B4-BE49-F238E27FC236}">
              <a16:creationId xmlns:a16="http://schemas.microsoft.com/office/drawing/2014/main" id="{FD7E036C-D2B0-442F-A874-F5D109482732}"/>
            </a:ext>
          </a:extLst>
        </xdr:cNvPr>
        <xdr:cNvSpPr txBox="1"/>
      </xdr:nvSpPr>
      <xdr:spPr>
        <a:xfrm>
          <a:off x="16306800" y="1700213"/>
          <a:ext cx="5010150" cy="56326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400" b="1">
              <a:solidFill>
                <a:schemeClr val="accent1"/>
              </a:solidFill>
            </a:rPr>
            <a:t>TOP THREE PRODUCT BY SALES</a:t>
          </a:r>
        </a:p>
      </xdr:txBody>
    </xdr:sp>
    <xdr:clientData/>
  </xdr:oneCellAnchor>
  <xdr:oneCellAnchor>
    <xdr:from>
      <xdr:col>24</xdr:col>
      <xdr:colOff>428625</xdr:colOff>
      <xdr:row>12</xdr:row>
      <xdr:rowOff>31750</xdr:rowOff>
    </xdr:from>
    <xdr:ext cx="1468438" cy="365125"/>
    <xdr:sp macro="" textlink="">
      <xdr:nvSpPr>
        <xdr:cNvPr id="19" name="TextBox 18">
          <a:extLst>
            <a:ext uri="{FF2B5EF4-FFF2-40B4-BE49-F238E27FC236}">
              <a16:creationId xmlns:a16="http://schemas.microsoft.com/office/drawing/2014/main" id="{EEA8C46E-9425-48EB-85D4-31922E676AB4}"/>
            </a:ext>
          </a:extLst>
        </xdr:cNvPr>
        <xdr:cNvSpPr txBox="1"/>
      </xdr:nvSpPr>
      <xdr:spPr>
        <a:xfrm>
          <a:off x="16049625" y="2222500"/>
          <a:ext cx="1468438" cy="36512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000" b="1">
              <a:solidFill>
                <a:srgbClr val="FF0000"/>
              </a:solidFill>
            </a:rPr>
            <a:t>PRODUCT 1</a:t>
          </a:r>
        </a:p>
      </xdr:txBody>
    </xdr:sp>
    <xdr:clientData/>
  </xdr:oneCellAnchor>
  <xdr:oneCellAnchor>
    <xdr:from>
      <xdr:col>27</xdr:col>
      <xdr:colOff>119062</xdr:colOff>
      <xdr:row>12</xdr:row>
      <xdr:rowOff>39688</xdr:rowOff>
    </xdr:from>
    <xdr:ext cx="2333625" cy="405432"/>
    <xdr:sp macro="" textlink="">
      <xdr:nvSpPr>
        <xdr:cNvPr id="20" name="TextBox 19">
          <a:extLst>
            <a:ext uri="{FF2B5EF4-FFF2-40B4-BE49-F238E27FC236}">
              <a16:creationId xmlns:a16="http://schemas.microsoft.com/office/drawing/2014/main" id="{6A307EAD-7E2B-4821-AA80-76A0761A3A35}"/>
            </a:ext>
          </a:extLst>
        </xdr:cNvPr>
        <xdr:cNvSpPr txBox="1"/>
      </xdr:nvSpPr>
      <xdr:spPr>
        <a:xfrm flipH="1">
          <a:off x="17692687" y="2230438"/>
          <a:ext cx="2333625" cy="4054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rgbClr val="FF0000"/>
              </a:solidFill>
            </a:rPr>
            <a:t>PRODUCT</a:t>
          </a:r>
          <a:r>
            <a:rPr lang="en-US" sz="2000" b="1" baseline="0">
              <a:solidFill>
                <a:srgbClr val="FF0000"/>
              </a:solidFill>
            </a:rPr>
            <a:t> 2</a:t>
          </a:r>
          <a:endParaRPr lang="en-US" sz="2000" b="1">
            <a:solidFill>
              <a:srgbClr val="FF0000"/>
            </a:solidFill>
          </a:endParaRPr>
        </a:p>
      </xdr:txBody>
    </xdr:sp>
    <xdr:clientData/>
  </xdr:oneCellAnchor>
  <xdr:oneCellAnchor>
    <xdr:from>
      <xdr:col>29</xdr:col>
      <xdr:colOff>555624</xdr:colOff>
      <xdr:row>12</xdr:row>
      <xdr:rowOff>31750</xdr:rowOff>
    </xdr:from>
    <xdr:ext cx="1905001" cy="405432"/>
    <xdr:sp macro="" textlink="">
      <xdr:nvSpPr>
        <xdr:cNvPr id="21" name="TextBox 20">
          <a:extLst>
            <a:ext uri="{FF2B5EF4-FFF2-40B4-BE49-F238E27FC236}">
              <a16:creationId xmlns:a16="http://schemas.microsoft.com/office/drawing/2014/main" id="{FB9CC6AD-B66E-411C-A8A4-660B8F058F4E}"/>
            </a:ext>
          </a:extLst>
        </xdr:cNvPr>
        <xdr:cNvSpPr txBox="1"/>
      </xdr:nvSpPr>
      <xdr:spPr>
        <a:xfrm flipH="1">
          <a:off x="19430999" y="2222500"/>
          <a:ext cx="1905001" cy="4054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rgbClr val="FF0000"/>
              </a:solidFill>
            </a:rPr>
            <a:t>PRODUCT 3</a:t>
          </a:r>
        </a:p>
      </xdr:txBody>
    </xdr:sp>
    <xdr:clientData/>
  </xdr:oneCellAnchor>
  <xdr:twoCellAnchor>
    <xdr:from>
      <xdr:col>24</xdr:col>
      <xdr:colOff>441326</xdr:colOff>
      <xdr:row>14</xdr:row>
      <xdr:rowOff>4762</xdr:rowOff>
    </xdr:from>
    <xdr:to>
      <xdr:col>27</xdr:col>
      <xdr:colOff>44451</xdr:colOff>
      <xdr:row>16</xdr:row>
      <xdr:rowOff>76201</xdr:rowOff>
    </xdr:to>
    <xdr:sp macro="" textlink="DATA!L15">
      <xdr:nvSpPr>
        <xdr:cNvPr id="24" name="TextBox 23">
          <a:extLst>
            <a:ext uri="{FF2B5EF4-FFF2-40B4-BE49-F238E27FC236}">
              <a16:creationId xmlns:a16="http://schemas.microsoft.com/office/drawing/2014/main" id="{4EB5391A-925D-45F7-A0E7-CE126FE3483B}"/>
            </a:ext>
          </a:extLst>
        </xdr:cNvPr>
        <xdr:cNvSpPr txBox="1"/>
      </xdr:nvSpPr>
      <xdr:spPr>
        <a:xfrm>
          <a:off x="15986126" y="2538412"/>
          <a:ext cx="1546225" cy="433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4BDBCF-32A2-4854-9BDA-6D09FB192055}" type="TxLink">
            <a:rPr lang="en-US" sz="2000" b="1" i="0" u="none" strike="noStrike">
              <a:solidFill>
                <a:srgbClr val="000000"/>
              </a:solidFill>
              <a:latin typeface="Calibri"/>
              <a:cs typeface="Calibri"/>
            </a:rPr>
            <a:pPr/>
            <a:t>NGN 999.55</a:t>
          </a:fld>
          <a:endParaRPr lang="en-US" sz="2000" b="1"/>
        </a:p>
      </xdr:txBody>
    </xdr:sp>
    <xdr:clientData/>
  </xdr:twoCellAnchor>
  <xdr:twoCellAnchor>
    <xdr:from>
      <xdr:col>27</xdr:col>
      <xdr:colOff>119061</xdr:colOff>
      <xdr:row>13</xdr:row>
      <xdr:rowOff>182561</xdr:rowOff>
    </xdr:from>
    <xdr:to>
      <xdr:col>29</xdr:col>
      <xdr:colOff>333374</xdr:colOff>
      <xdr:row>16</xdr:row>
      <xdr:rowOff>39688</xdr:rowOff>
    </xdr:to>
    <xdr:sp macro="" textlink="DATA!L16">
      <xdr:nvSpPr>
        <xdr:cNvPr id="25" name="TextBox 24">
          <a:extLst>
            <a:ext uri="{FF2B5EF4-FFF2-40B4-BE49-F238E27FC236}">
              <a16:creationId xmlns:a16="http://schemas.microsoft.com/office/drawing/2014/main" id="{5DF7217D-CF4E-488E-A4F5-D42A7FA213A4}"/>
            </a:ext>
          </a:extLst>
        </xdr:cNvPr>
        <xdr:cNvSpPr txBox="1"/>
      </xdr:nvSpPr>
      <xdr:spPr>
        <a:xfrm>
          <a:off x="17692686" y="2555874"/>
          <a:ext cx="1516063" cy="404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726931-3BE0-4CEC-A5DD-B6A7F3415E9B}" type="TxLink">
            <a:rPr lang="en-US" sz="2000" b="1" i="0" u="none" strike="noStrike">
              <a:solidFill>
                <a:srgbClr val="000000"/>
              </a:solidFill>
              <a:latin typeface="Calibri"/>
              <a:cs typeface="Calibri"/>
            </a:rPr>
            <a:pPr/>
            <a:t>NGN 996.43</a:t>
          </a:fld>
          <a:endParaRPr lang="en-US" sz="2000" b="1"/>
        </a:p>
      </xdr:txBody>
    </xdr:sp>
    <xdr:clientData/>
  </xdr:twoCellAnchor>
  <xdr:twoCellAnchor>
    <xdr:from>
      <xdr:col>29</xdr:col>
      <xdr:colOff>539751</xdr:colOff>
      <xdr:row>14</xdr:row>
      <xdr:rowOff>0</xdr:rowOff>
    </xdr:from>
    <xdr:to>
      <xdr:col>32</xdr:col>
      <xdr:colOff>111126</xdr:colOff>
      <xdr:row>16</xdr:row>
      <xdr:rowOff>0</xdr:rowOff>
    </xdr:to>
    <xdr:sp macro="" textlink="DATA!L17">
      <xdr:nvSpPr>
        <xdr:cNvPr id="27" name="TextBox 26">
          <a:extLst>
            <a:ext uri="{FF2B5EF4-FFF2-40B4-BE49-F238E27FC236}">
              <a16:creationId xmlns:a16="http://schemas.microsoft.com/office/drawing/2014/main" id="{0EADE7F6-311F-49B6-8995-6F261A723D83}"/>
            </a:ext>
          </a:extLst>
        </xdr:cNvPr>
        <xdr:cNvSpPr txBox="1"/>
      </xdr:nvSpPr>
      <xdr:spPr>
        <a:xfrm>
          <a:off x="19415126" y="2555875"/>
          <a:ext cx="1524000"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3DDFAB-2FFB-44F5-9C92-555C2ED9BEE9}" type="TxLink">
            <a:rPr lang="en-US" sz="2000" b="1" i="0" u="none" strike="noStrike">
              <a:solidFill>
                <a:srgbClr val="000000"/>
              </a:solidFill>
              <a:latin typeface="Calibri"/>
              <a:cs typeface="Calibri"/>
            </a:rPr>
            <a:pPr/>
            <a:t>NGN 999.55</a:t>
          </a:fld>
          <a:endParaRPr lang="en-US" sz="2000" b="1"/>
        </a:p>
      </xdr:txBody>
    </xdr:sp>
    <xdr:clientData/>
  </xdr:twoCellAnchor>
  <xdr:twoCellAnchor>
    <xdr:from>
      <xdr:col>5</xdr:col>
      <xdr:colOff>95250</xdr:colOff>
      <xdr:row>19</xdr:row>
      <xdr:rowOff>71437</xdr:rowOff>
    </xdr:from>
    <xdr:to>
      <xdr:col>13</xdr:col>
      <xdr:colOff>635000</xdr:colOff>
      <xdr:row>39</xdr:row>
      <xdr:rowOff>103186</xdr:rowOff>
    </xdr:to>
    <xdr:graphicFrame macro="">
      <xdr:nvGraphicFramePr>
        <xdr:cNvPr id="30" name="Chart 29">
          <a:extLst>
            <a:ext uri="{FF2B5EF4-FFF2-40B4-BE49-F238E27FC236}">
              <a16:creationId xmlns:a16="http://schemas.microsoft.com/office/drawing/2014/main" id="{7F7D4734-ECEC-4A48-8830-13C50B103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587375</xdr:colOff>
      <xdr:row>19</xdr:row>
      <xdr:rowOff>71437</xdr:rowOff>
    </xdr:from>
    <xdr:to>
      <xdr:col>24</xdr:col>
      <xdr:colOff>150813</xdr:colOff>
      <xdr:row>40</xdr:row>
      <xdr:rowOff>15874</xdr:rowOff>
    </xdr:to>
    <xdr:graphicFrame macro="">
      <xdr:nvGraphicFramePr>
        <xdr:cNvPr id="31" name="Chart 30">
          <a:extLst>
            <a:ext uri="{FF2B5EF4-FFF2-40B4-BE49-F238E27FC236}">
              <a16:creationId xmlns:a16="http://schemas.microsoft.com/office/drawing/2014/main" id="{969BFF55-9F20-4BBA-B9FB-7F6445044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627063</xdr:colOff>
      <xdr:row>19</xdr:row>
      <xdr:rowOff>87312</xdr:rowOff>
    </xdr:from>
    <xdr:to>
      <xdr:col>33</xdr:col>
      <xdr:colOff>158750</xdr:colOff>
      <xdr:row>40</xdr:row>
      <xdr:rowOff>47624</xdr:rowOff>
    </xdr:to>
    <xdr:graphicFrame macro="">
      <xdr:nvGraphicFramePr>
        <xdr:cNvPr id="32" name="Chart 31">
          <a:extLst>
            <a:ext uri="{FF2B5EF4-FFF2-40B4-BE49-F238E27FC236}">
              <a16:creationId xmlns:a16="http://schemas.microsoft.com/office/drawing/2014/main" id="{51276F1A-53C5-4A77-9098-D2FF311CE1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587376</xdr:colOff>
      <xdr:row>43</xdr:row>
      <xdr:rowOff>55562</xdr:rowOff>
    </xdr:from>
    <xdr:to>
      <xdr:col>14</xdr:col>
      <xdr:colOff>15876</xdr:colOff>
      <xdr:row>53</xdr:row>
      <xdr:rowOff>119062</xdr:rowOff>
    </xdr:to>
    <mc:AlternateContent xmlns:mc="http://schemas.openxmlformats.org/markup-compatibility/2006" xmlns:a14="http://schemas.microsoft.com/office/drawing/2010/main">
      <mc:Choice Requires="a14">
        <xdr:graphicFrame macro="">
          <xdr:nvGraphicFramePr>
            <xdr:cNvPr id="33" name="Product 2">
              <a:extLst>
                <a:ext uri="{FF2B5EF4-FFF2-40B4-BE49-F238E27FC236}">
                  <a16:creationId xmlns:a16="http://schemas.microsoft.com/office/drawing/2014/main" id="{9D96E76D-7492-4889-8934-371499C2FA82}"/>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3178176" y="7837488"/>
              <a:ext cx="5905500" cy="1873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230189</xdr:colOff>
      <xdr:row>43</xdr:row>
      <xdr:rowOff>79374</xdr:rowOff>
    </xdr:from>
    <xdr:to>
      <xdr:col>24</xdr:col>
      <xdr:colOff>206377</xdr:colOff>
      <xdr:row>53</xdr:row>
      <xdr:rowOff>126999</xdr:rowOff>
    </xdr:to>
    <mc:AlternateContent xmlns:mc="http://schemas.openxmlformats.org/markup-compatibility/2006" xmlns:a14="http://schemas.microsoft.com/office/drawing/2010/main">
      <mc:Choice Requires="a14">
        <xdr:graphicFrame macro="">
          <xdr:nvGraphicFramePr>
            <xdr:cNvPr id="34" name="Category 1">
              <a:extLst>
                <a:ext uri="{FF2B5EF4-FFF2-40B4-BE49-F238E27FC236}">
                  <a16:creationId xmlns:a16="http://schemas.microsoft.com/office/drawing/2014/main" id="{7BEE8DA0-705B-4EA8-8AC3-85C51E96624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297989" y="7861300"/>
              <a:ext cx="6453188" cy="1857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396876</xdr:colOff>
      <xdr:row>43</xdr:row>
      <xdr:rowOff>63500</xdr:rowOff>
    </xdr:from>
    <xdr:to>
      <xdr:col>33</xdr:col>
      <xdr:colOff>309563</xdr:colOff>
      <xdr:row>53</xdr:row>
      <xdr:rowOff>103187</xdr:rowOff>
    </xdr:to>
    <mc:AlternateContent xmlns:mc="http://schemas.openxmlformats.org/markup-compatibility/2006" xmlns:a14="http://schemas.microsoft.com/office/drawing/2010/main">
      <mc:Choice Requires="a14">
        <xdr:graphicFrame macro="">
          <xdr:nvGraphicFramePr>
            <xdr:cNvPr id="36" name="Region 1">
              <a:extLst>
                <a:ext uri="{FF2B5EF4-FFF2-40B4-BE49-F238E27FC236}">
                  <a16:creationId xmlns:a16="http://schemas.microsoft.com/office/drawing/2014/main" id="{489F2C11-1F88-4FF0-86CA-3112AFDA055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941676" y="7845426"/>
              <a:ext cx="5741987" cy="18494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745.30250578704" createdVersion="7" refreshedVersion="7" minRefreshableVersion="3" recordCount="1000" xr:uid="{7ED9123E-EA96-49B9-AF2E-75735D8EF0E9}">
  <cacheSource type="worksheet">
    <worksheetSource name="Table1"/>
  </cacheSource>
  <cacheFields count="9">
    <cacheField name="Date" numFmtId="14">
      <sharedItems containsSemiMixedTypes="0" containsNonDate="0" containsDate="1" containsString="0" minDate="2023-01-01T00:00:00" maxDate="2024-01-01T00:00:00" count="336">
        <d v="2023-04-13T00:00:00"/>
        <d v="2023-12-15T00:00:00"/>
        <d v="2023-09-28T00:00:00"/>
        <d v="2023-04-17T00:00:00"/>
        <d v="2023-03-13T00:00:00"/>
        <d v="2023-07-08T00:00:00"/>
        <d v="2023-01-21T00:00:00"/>
        <d v="2023-05-02T00:00:00"/>
        <d v="2023-08-03T00:00:00"/>
        <d v="2023-11-27T00:00:00"/>
        <d v="2023-03-29T00:00:00"/>
        <d v="2023-04-10T00:00:00"/>
        <d v="2023-12-26T00:00:00"/>
        <d v="2023-06-01T00:00:00"/>
        <d v="2023-05-11T00:00:00"/>
        <d v="2023-05-30T00:00:00"/>
        <d v="2023-11-05T00:00:00"/>
        <d v="2023-09-15T00:00:00"/>
        <d v="2023-12-10T00:00:00"/>
        <d v="2023-10-21T00:00:00"/>
        <d v="2023-07-11T00:00:00"/>
        <d v="2023-10-04T00:00:00"/>
        <d v="2023-06-10T00:00:00"/>
        <d v="2023-11-10T00:00:00"/>
        <d v="2023-01-22T00:00:00"/>
        <d v="2023-09-10T00:00:00"/>
        <d v="2023-08-24T00:00:00"/>
        <d v="2023-12-11T00:00:00"/>
        <d v="2023-02-18T00:00:00"/>
        <d v="2023-02-28T00:00:00"/>
        <d v="2023-06-19T00:00:00"/>
        <d v="2023-07-07T00:00:00"/>
        <d v="2023-07-09T00:00:00"/>
        <d v="2023-06-24T00:00:00"/>
        <d v="2023-02-20T00:00:00"/>
        <d v="2023-12-30T00:00:00"/>
        <d v="2023-02-24T00:00:00"/>
        <d v="2023-09-01T00:00:00"/>
        <d v="2023-11-16T00:00:00"/>
        <d v="2023-11-03T00:00:00"/>
        <d v="2023-05-15T00:00:00"/>
        <d v="2023-11-25T00:00:00"/>
        <d v="2023-06-16T00:00:00"/>
        <d v="2023-10-01T00:00:00"/>
        <d v="2023-03-30T00:00:00"/>
        <d v="2023-11-12T00:00:00"/>
        <d v="2023-01-14T00:00:00"/>
        <d v="2023-08-30T00:00:00"/>
        <d v="2023-09-22T00:00:00"/>
        <d v="2023-12-12T00:00:00"/>
        <d v="2023-02-22T00:00:00"/>
        <d v="2023-12-06T00:00:00"/>
        <d v="2023-04-02T00:00:00"/>
        <d v="2023-09-21T00:00:00"/>
        <d v="2023-02-04T00:00:00"/>
        <d v="2023-07-25T00:00:00"/>
        <d v="2023-03-22T00:00:00"/>
        <d v="2023-02-19T00:00:00"/>
        <d v="2023-01-02T00:00:00"/>
        <d v="2023-02-23T00:00:00"/>
        <d v="2023-04-16T00:00:00"/>
        <d v="2023-09-17T00:00:00"/>
        <d v="2023-11-06T00:00:00"/>
        <d v="2023-07-10T00:00:00"/>
        <d v="2023-08-06T00:00:00"/>
        <d v="2023-02-13T00:00:00"/>
        <d v="2023-06-11T00:00:00"/>
        <d v="2023-07-21T00:00:00"/>
        <d v="2023-09-27T00:00:00"/>
        <d v="2023-12-17T00:00:00"/>
        <d v="2023-10-31T00:00:00"/>
        <d v="2023-09-09T00:00:00"/>
        <d v="2023-10-23T00:00:00"/>
        <d v="2023-08-01T00:00:00"/>
        <d v="2023-07-27T00:00:00"/>
        <d v="2023-08-25T00:00:00"/>
        <d v="2023-12-04T00:00:00"/>
        <d v="2023-10-07T00:00:00"/>
        <d v="2023-08-05T00:00:00"/>
        <d v="2023-02-10T00:00:00"/>
        <d v="2023-06-06T00:00:00"/>
        <d v="2023-01-15T00:00:00"/>
        <d v="2023-10-28T00:00:00"/>
        <d v="2023-03-06T00:00:00"/>
        <d v="2023-11-23T00:00:00"/>
        <d v="2023-01-09T00:00:00"/>
        <d v="2023-05-09T00:00:00"/>
        <d v="2023-05-16T00:00:00"/>
        <d v="2023-03-04T00:00:00"/>
        <d v="2023-05-19T00:00:00"/>
        <d v="2023-06-12T00:00:00"/>
        <d v="2023-10-16T00:00:00"/>
        <d v="2023-09-18T00:00:00"/>
        <d v="2023-08-19T00:00:00"/>
        <d v="2023-01-28T00:00:00"/>
        <d v="2023-07-20T00:00:00"/>
        <d v="2023-11-24T00:00:00"/>
        <d v="2023-09-25T00:00:00"/>
        <d v="2023-02-02T00:00:00"/>
        <d v="2023-02-17T00:00:00"/>
        <d v="2023-03-03T00:00:00"/>
        <d v="2023-08-04T00:00:00"/>
        <d v="2023-10-20T00:00:00"/>
        <d v="2023-04-09T00:00:00"/>
        <d v="2023-06-21T00:00:00"/>
        <d v="2023-08-02T00:00:00"/>
        <d v="2023-08-15T00:00:00"/>
        <d v="2023-04-11T00:00:00"/>
        <d v="2023-09-14T00:00:00"/>
        <d v="2023-01-05T00:00:00"/>
        <d v="2023-09-12T00:00:00"/>
        <d v="2023-12-25T00:00:00"/>
        <d v="2023-10-10T00:00:00"/>
        <d v="2023-07-26T00:00:00"/>
        <d v="2023-02-11T00:00:00"/>
        <d v="2023-06-28T00:00:00"/>
        <d v="2023-12-18T00:00:00"/>
        <d v="2023-08-29T00:00:00"/>
        <d v="2023-02-21T00:00:00"/>
        <d v="2023-04-06T00:00:00"/>
        <d v="2023-08-10T00:00:00"/>
        <d v="2023-05-23T00:00:00"/>
        <d v="2023-06-20T00:00:00"/>
        <d v="2023-01-29T00:00:00"/>
        <d v="2023-02-05T00:00:00"/>
        <d v="2023-01-13T00:00:00"/>
        <d v="2023-06-09T00:00:00"/>
        <d v="2023-07-06T00:00:00"/>
        <d v="2023-08-31T00:00:00"/>
        <d v="2023-03-27T00:00:00"/>
        <d v="2023-10-11T00:00:00"/>
        <d v="2023-03-07T00:00:00"/>
        <d v="2023-02-14T00:00:00"/>
        <d v="2023-05-14T00:00:00"/>
        <d v="2023-04-18T00:00:00"/>
        <d v="2023-10-13T00:00:00"/>
        <d v="2023-05-08T00:00:00"/>
        <d v="2023-12-14T00:00:00"/>
        <d v="2023-08-13T00:00:00"/>
        <d v="2023-05-01T00:00:00"/>
        <d v="2023-04-26T00:00:00"/>
        <d v="2023-08-21T00:00:00"/>
        <d v="2023-09-16T00:00:00"/>
        <d v="2023-07-17T00:00:00"/>
        <d v="2023-05-17T00:00:00"/>
        <d v="2023-11-14T00:00:00"/>
        <d v="2023-06-14T00:00:00"/>
        <d v="2023-08-22T00:00:00"/>
        <d v="2023-11-11T00:00:00"/>
        <d v="2023-06-29T00:00:00"/>
        <d v="2023-04-23T00:00:00"/>
        <d v="2023-10-22T00:00:00"/>
        <d v="2023-05-10T00:00:00"/>
        <d v="2023-08-08T00:00:00"/>
        <d v="2023-12-09T00:00:00"/>
        <d v="2023-08-12T00:00:00"/>
        <d v="2023-05-06T00:00:00"/>
        <d v="2023-09-04T00:00:00"/>
        <d v="2023-11-20T00:00:00"/>
        <d v="2023-07-22T00:00:00"/>
        <d v="2023-07-03T00:00:00"/>
        <d v="2023-05-03T00:00:00"/>
        <d v="2023-11-21T00:00:00"/>
        <d v="2023-04-08T00:00:00"/>
        <d v="2023-08-28T00:00:00"/>
        <d v="2023-05-24T00:00:00"/>
        <d v="2023-04-07T00:00:00"/>
        <d v="2023-05-04T00:00:00"/>
        <d v="2023-11-22T00:00:00"/>
        <d v="2023-05-28T00:00:00"/>
        <d v="2023-05-27T00:00:00"/>
        <d v="2023-07-18T00:00:00"/>
        <d v="2023-11-04T00:00:00"/>
        <d v="2023-02-08T00:00:00"/>
        <d v="2023-09-24T00:00:00"/>
        <d v="2023-05-31T00:00:00"/>
        <d v="2023-10-25T00:00:00"/>
        <d v="2023-09-20T00:00:00"/>
        <d v="2023-04-22T00:00:00"/>
        <d v="2023-03-01T00:00:00"/>
        <d v="2023-09-11T00:00:00"/>
        <d v="2023-05-20T00:00:00"/>
        <d v="2023-02-06T00:00:00"/>
        <d v="2023-04-30T00:00:00"/>
        <d v="2023-03-16T00:00:00"/>
        <d v="2023-04-14T00:00:00"/>
        <d v="2023-06-02T00:00:00"/>
        <d v="2023-07-13T00:00:00"/>
        <d v="2023-06-18T00:00:00"/>
        <d v="2023-03-09T00:00:00"/>
        <d v="2023-07-14T00:00:00"/>
        <d v="2023-06-25T00:00:00"/>
        <d v="2023-08-26T00:00:00"/>
        <d v="2023-06-07T00:00:00"/>
        <d v="2023-02-07T00:00:00"/>
        <d v="2023-08-18T00:00:00"/>
        <d v="2023-12-31T00:00:00"/>
        <d v="2023-01-27T00:00:00"/>
        <d v="2023-08-14T00:00:00"/>
        <d v="2023-11-13T00:00:00"/>
        <d v="2023-01-04T00:00:00"/>
        <d v="2023-01-17T00:00:00"/>
        <d v="2023-02-15T00:00:00"/>
        <d v="2023-01-06T00:00:00"/>
        <d v="2023-10-29T00:00:00"/>
        <d v="2023-06-30T00:00:00"/>
        <d v="2023-04-05T00:00:00"/>
        <d v="2023-09-13T00:00:00"/>
        <d v="2023-11-19T00:00:00"/>
        <d v="2023-01-18T00:00:00"/>
        <d v="2023-10-08T00:00:00"/>
        <d v="2023-08-11T00:00:00"/>
        <d v="2023-02-27T00:00:00"/>
        <d v="2023-06-23T00:00:00"/>
        <d v="2023-04-24T00:00:00"/>
        <d v="2023-10-15T00:00:00"/>
        <d v="2023-12-08T00:00:00"/>
        <d v="2023-05-07T00:00:00"/>
        <d v="2023-06-04T00:00:00"/>
        <d v="2023-09-30T00:00:00"/>
        <d v="2023-10-26T00:00:00"/>
        <d v="2023-09-03T00:00:00"/>
        <d v="2023-01-26T00:00:00"/>
        <d v="2023-12-21T00:00:00"/>
        <d v="2023-11-02T00:00:00"/>
        <d v="2023-11-09T00:00:00"/>
        <d v="2023-06-22T00:00:00"/>
        <d v="2023-01-20T00:00:00"/>
        <d v="2023-11-17T00:00:00"/>
        <d v="2023-05-22T00:00:00"/>
        <d v="2023-12-20T00:00:00"/>
        <d v="2023-11-18T00:00:00"/>
        <d v="2023-07-05T00:00:00"/>
        <d v="2023-05-05T00:00:00"/>
        <d v="2023-11-01T00:00:00"/>
        <d v="2023-07-15T00:00:00"/>
        <d v="2023-09-19T00:00:00"/>
        <d v="2023-12-16T00:00:00"/>
        <d v="2023-02-16T00:00:00"/>
        <d v="2023-11-07T00:00:00"/>
        <d v="2023-09-26T00:00:00"/>
        <d v="2023-05-25T00:00:00"/>
        <d v="2023-11-15T00:00:00"/>
        <d v="2023-10-02T00:00:00"/>
        <d v="2023-08-17T00:00:00"/>
        <d v="2023-04-27T00:00:00"/>
        <d v="2023-10-06T00:00:00"/>
        <d v="2023-01-01T00:00:00"/>
        <d v="2023-08-27T00:00:00"/>
        <d v="2023-10-17T00:00:00"/>
        <d v="2023-04-28T00:00:00"/>
        <d v="2023-09-29T00:00:00"/>
        <d v="2023-03-10T00:00:00"/>
        <d v="2023-10-05T00:00:00"/>
        <d v="2023-03-17T00:00:00"/>
        <d v="2023-06-03T00:00:00"/>
        <d v="2023-07-04T00:00:00"/>
        <d v="2023-10-12T00:00:00"/>
        <d v="2023-04-04T00:00:00"/>
        <d v="2023-07-23T00:00:00"/>
        <d v="2023-12-07T00:00:00"/>
        <d v="2023-12-23T00:00:00"/>
        <d v="2023-01-23T00:00:00"/>
        <d v="2023-09-07T00:00:00"/>
        <d v="2023-01-10T00:00:00"/>
        <d v="2023-01-16T00:00:00"/>
        <d v="2023-12-02T00:00:00"/>
        <d v="2023-06-27T00:00:00"/>
        <d v="2023-06-17T00:00:00"/>
        <d v="2023-11-26T00:00:00"/>
        <d v="2023-02-12T00:00:00"/>
        <d v="2023-01-12T00:00:00"/>
        <d v="2023-12-03T00:00:00"/>
        <d v="2023-03-31T00:00:00"/>
        <d v="2023-04-03T00:00:00"/>
        <d v="2023-04-25T00:00:00"/>
        <d v="2023-04-15T00:00:00"/>
        <d v="2023-09-06T00:00:00"/>
        <d v="2023-06-13T00:00:00"/>
        <d v="2023-06-26T00:00:00"/>
        <d v="2023-07-02T00:00:00"/>
        <d v="2023-12-27T00:00:00"/>
        <d v="2023-03-25T00:00:00"/>
        <d v="2023-01-19T00:00:00"/>
        <d v="2023-12-05T00:00:00"/>
        <d v="2023-01-25T00:00:00"/>
        <d v="2023-02-26T00:00:00"/>
        <d v="2023-04-19T00:00:00"/>
        <d v="2023-05-13T00:00:00"/>
        <d v="2023-08-09T00:00:00"/>
        <d v="2023-08-23T00:00:00"/>
        <d v="2023-05-26T00:00:00"/>
        <d v="2023-03-15T00:00:00"/>
        <d v="2023-01-07T00:00:00"/>
        <d v="2023-05-21T00:00:00"/>
        <d v="2023-05-12T00:00:00"/>
        <d v="2023-10-19T00:00:00"/>
        <d v="2023-03-11T00:00:00"/>
        <d v="2023-07-01T00:00:00"/>
        <d v="2023-04-01T00:00:00"/>
        <d v="2023-11-08T00:00:00"/>
        <d v="2023-10-30T00:00:00"/>
        <d v="2023-05-29T00:00:00"/>
        <d v="2023-03-21T00:00:00"/>
        <d v="2023-12-24T00:00:00"/>
        <d v="2023-06-05T00:00:00"/>
        <d v="2023-01-08T00:00:00"/>
        <d v="2023-08-16T00:00:00"/>
        <d v="2023-07-31T00:00:00"/>
        <d v="2023-03-23T00:00:00"/>
        <d v="2023-07-16T00:00:00"/>
        <d v="2023-09-08T00:00:00"/>
        <d v="2023-04-29T00:00:00"/>
        <d v="2023-10-09T00:00:00"/>
        <d v="2023-03-24T00:00:00"/>
        <d v="2023-03-26T00:00:00"/>
        <d v="2023-03-19T00:00:00"/>
        <d v="2023-07-24T00:00:00"/>
        <d v="2023-02-03T00:00:00"/>
        <d v="2023-12-01T00:00:00"/>
        <d v="2023-12-13T00:00:00"/>
        <d v="2023-06-15T00:00:00"/>
        <d v="2023-01-30T00:00:00"/>
        <d v="2023-05-18T00:00:00"/>
        <d v="2023-04-21T00:00:00"/>
        <d v="2023-03-02T00:00:00"/>
        <d v="2023-03-14T00:00:00"/>
        <d v="2023-02-25T00:00:00"/>
        <d v="2023-01-03T00:00:00"/>
        <d v="2023-12-29T00:00:00"/>
        <d v="2023-10-27T00:00:00"/>
        <d v="2023-03-08T00:00:00"/>
        <d v="2023-01-31T00:00:00"/>
        <d v="2023-02-09T00:00:00"/>
        <d v="2023-12-22T00:00:00"/>
        <d v="2023-11-29T00:00:00"/>
      </sharedItems>
      <fieldGroup par="8" base="0">
        <rangePr groupBy="days" startDate="2023-01-01T00:00:00" endDate="2024-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Product" numFmtId="0">
      <sharedItems count="5">
        <s v="Product C"/>
        <s v="Product A"/>
        <s v="Product B"/>
        <s v="Product E"/>
        <s v="Product D"/>
      </sharedItems>
    </cacheField>
    <cacheField name="Category" numFmtId="0">
      <sharedItems count="5">
        <s v="Toys"/>
        <s v="Electronics"/>
        <s v="Clothing"/>
        <s v="Food"/>
        <s v="Furniture"/>
      </sharedItems>
    </cacheField>
    <cacheField name="Region" numFmtId="0">
      <sharedItems count="4">
        <s v="South"/>
        <s v="North"/>
        <s v="East"/>
        <s v="West"/>
      </sharedItems>
    </cacheField>
    <cacheField name="Sales" numFmtId="0">
      <sharedItems containsSemiMixedTypes="0" containsString="0" containsNumber="1" minValue="10.4383536228358" maxValue="999.54847953190301"/>
    </cacheField>
    <cacheField name="Quantity" numFmtId="0">
      <sharedItems containsSemiMixedTypes="0" containsString="0" containsNumber="1" containsInteger="1" minValue="1" maxValue="19"/>
    </cacheField>
    <cacheField name="Profit" numFmtId="0">
      <sharedItems containsSemiMixedTypes="0" containsString="0" containsNumber="1" minValue="1.2807576292882701" maxValue="293.47253143678199"/>
    </cacheField>
    <cacheField name="% PER SALES" numFmtId="0">
      <sharedItems containsNonDate="0" containsString="0" containsBlank="1"/>
    </cacheField>
    <cacheField name="Months" numFmtId="0" databaseField="0">
      <fieldGroup base="0">
        <rangePr groupBy="months" startDate="2023-01-01T00:00:00" endDate="2024-01-01T00:00:00"/>
        <groupItems count="14">
          <s v="&lt;1/1/2023"/>
          <s v="Jan"/>
          <s v="Feb"/>
          <s v="Mar"/>
          <s v="Apr"/>
          <s v="May"/>
          <s v="Jun"/>
          <s v="Jul"/>
          <s v="Aug"/>
          <s v="Sep"/>
          <s v="Oct"/>
          <s v="Nov"/>
          <s v="Dec"/>
          <s v="&gt;1/1/2024"/>
        </groupItems>
      </fieldGroup>
    </cacheField>
  </cacheFields>
  <extLst>
    <ext xmlns:x14="http://schemas.microsoft.com/office/spreadsheetml/2009/9/main" uri="{725AE2AE-9491-48be-B2B4-4EB974FC3084}">
      <x14:pivotCacheDefinition pivotCacheId="13564976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n v="662.52262682483104"/>
    <n v="13"/>
    <n v="157.651423994287"/>
    <m/>
  </r>
  <r>
    <x v="1"/>
    <x v="0"/>
    <x v="1"/>
    <x v="1"/>
    <n v="117.804380841228"/>
    <n v="5"/>
    <n v="29.8029249040321"/>
    <m/>
  </r>
  <r>
    <x v="2"/>
    <x v="1"/>
    <x v="1"/>
    <x v="1"/>
    <n v="640.17326028581999"/>
    <n v="13"/>
    <n v="183.36958058637001"/>
    <m/>
  </r>
  <r>
    <x v="3"/>
    <x v="2"/>
    <x v="1"/>
    <x v="1"/>
    <n v="503.25364049427998"/>
    <n v="6"/>
    <n v="64.5321574565464"/>
    <m/>
  </r>
  <r>
    <x v="4"/>
    <x v="2"/>
    <x v="1"/>
    <x v="1"/>
    <n v="412.60732929859699"/>
    <n v="5"/>
    <n v="109.18688031446"/>
    <m/>
  </r>
  <r>
    <x v="5"/>
    <x v="3"/>
    <x v="2"/>
    <x v="1"/>
    <n v="953.48982096710995"/>
    <n v="9"/>
    <n v="79.065021543631005"/>
    <m/>
  </r>
  <r>
    <x v="6"/>
    <x v="2"/>
    <x v="3"/>
    <x v="2"/>
    <n v="527.31431956473205"/>
    <n v="16"/>
    <n v="119.31025742802299"/>
    <m/>
  </r>
  <r>
    <x v="0"/>
    <x v="4"/>
    <x v="4"/>
    <x v="3"/>
    <n v="226.92630467523901"/>
    <n v="2"/>
    <n v="53.439881311245102"/>
    <m/>
  </r>
  <r>
    <x v="7"/>
    <x v="2"/>
    <x v="2"/>
    <x v="0"/>
    <n v="464.373844583525"/>
    <n v="1"/>
    <n v="101.897928999242"/>
    <m/>
  </r>
  <r>
    <x v="8"/>
    <x v="3"/>
    <x v="2"/>
    <x v="2"/>
    <n v="920.19353052694498"/>
    <n v="8"/>
    <n v="104.054273488392"/>
    <m/>
  </r>
  <r>
    <x v="9"/>
    <x v="2"/>
    <x v="4"/>
    <x v="3"/>
    <n v="184.33451661728799"/>
    <n v="19"/>
    <n v="49.449722453635403"/>
    <m/>
  </r>
  <r>
    <x v="10"/>
    <x v="4"/>
    <x v="4"/>
    <x v="1"/>
    <n v="221.81746830135401"/>
    <n v="11"/>
    <n v="20.454812626587199"/>
    <m/>
  </r>
  <r>
    <x v="11"/>
    <x v="1"/>
    <x v="1"/>
    <x v="3"/>
    <n v="22.899272079512901"/>
    <n v="12"/>
    <n v="1.45201302496651"/>
    <m/>
  </r>
  <r>
    <x v="12"/>
    <x v="3"/>
    <x v="2"/>
    <x v="3"/>
    <n v="24.048148901809501"/>
    <n v="12"/>
    <n v="5.5158336766081302"/>
    <m/>
  </r>
  <r>
    <x v="13"/>
    <x v="1"/>
    <x v="0"/>
    <x v="1"/>
    <n v="831.09771068892701"/>
    <n v="7"/>
    <n v="140.346580138972"/>
    <m/>
  </r>
  <r>
    <x v="14"/>
    <x v="1"/>
    <x v="4"/>
    <x v="1"/>
    <n v="734.80138077452602"/>
    <n v="13"/>
    <n v="192.71966840836399"/>
    <m/>
  </r>
  <r>
    <x v="15"/>
    <x v="1"/>
    <x v="4"/>
    <x v="1"/>
    <n v="361.49064588743801"/>
    <n v="8"/>
    <n v="52.723152332508803"/>
    <m/>
  </r>
  <r>
    <x v="16"/>
    <x v="0"/>
    <x v="3"/>
    <x v="0"/>
    <n v="701.32804565529705"/>
    <n v="9"/>
    <n v="64.571025683701393"/>
    <m/>
  </r>
  <r>
    <x v="17"/>
    <x v="0"/>
    <x v="0"/>
    <x v="1"/>
    <n v="401.25386704687003"/>
    <n v="7"/>
    <n v="103.96910942476801"/>
    <m/>
  </r>
  <r>
    <x v="18"/>
    <x v="1"/>
    <x v="0"/>
    <x v="0"/>
    <n v="953.36782803784899"/>
    <n v="15"/>
    <n v="178.49658722832999"/>
    <m/>
  </r>
  <r>
    <x v="19"/>
    <x v="3"/>
    <x v="4"/>
    <x v="1"/>
    <n v="967.38215461177401"/>
    <n v="2"/>
    <n v="94.125266052104493"/>
    <m/>
  </r>
  <r>
    <x v="20"/>
    <x v="4"/>
    <x v="1"/>
    <x v="0"/>
    <n v="398.865838051249"/>
    <n v="12"/>
    <n v="91.777433731285697"/>
    <m/>
  </r>
  <r>
    <x v="21"/>
    <x v="4"/>
    <x v="3"/>
    <x v="3"/>
    <n v="855.67968727745904"/>
    <n v="1"/>
    <n v="152.12137395035799"/>
    <m/>
  </r>
  <r>
    <x v="22"/>
    <x v="2"/>
    <x v="0"/>
    <x v="2"/>
    <n v="775.35815128049103"/>
    <n v="8"/>
    <n v="155.907656740188"/>
    <m/>
  </r>
  <r>
    <x v="23"/>
    <x v="3"/>
    <x v="4"/>
    <x v="3"/>
    <n v="316.89993780007097"/>
    <n v="5"/>
    <n v="52.359660567459002"/>
    <m/>
  </r>
  <r>
    <x v="24"/>
    <x v="0"/>
    <x v="0"/>
    <x v="3"/>
    <n v="239.71943061209399"/>
    <n v="15"/>
    <n v="61.6503829665998"/>
    <m/>
  </r>
  <r>
    <x v="25"/>
    <x v="1"/>
    <x v="3"/>
    <x v="1"/>
    <n v="463.65230388890501"/>
    <n v="1"/>
    <n v="119.339781281141"/>
    <m/>
  </r>
  <r>
    <x v="26"/>
    <x v="2"/>
    <x v="3"/>
    <x v="0"/>
    <n v="783.535352208262"/>
    <n v="1"/>
    <n v="178.13457270060599"/>
    <m/>
  </r>
  <r>
    <x v="27"/>
    <x v="4"/>
    <x v="2"/>
    <x v="2"/>
    <n v="960.56610688145702"/>
    <n v="10"/>
    <n v="73.339553030488602"/>
    <m/>
  </r>
  <r>
    <x v="28"/>
    <x v="0"/>
    <x v="4"/>
    <x v="1"/>
    <n v="765.943278177906"/>
    <n v="10"/>
    <n v="198.92578313364501"/>
    <m/>
  </r>
  <r>
    <x v="29"/>
    <x v="0"/>
    <x v="3"/>
    <x v="1"/>
    <n v="856.65491516818599"/>
    <n v="15"/>
    <n v="186.53938773720199"/>
    <m/>
  </r>
  <r>
    <x v="30"/>
    <x v="1"/>
    <x v="2"/>
    <x v="1"/>
    <n v="607.03366310881097"/>
    <n v="17"/>
    <n v="136.130966346679"/>
    <m/>
  </r>
  <r>
    <x v="31"/>
    <x v="4"/>
    <x v="2"/>
    <x v="3"/>
    <n v="837.05375253370403"/>
    <n v="6"/>
    <n v="117.81172479303601"/>
    <m/>
  </r>
  <r>
    <x v="2"/>
    <x v="3"/>
    <x v="0"/>
    <x v="0"/>
    <n v="786.57664942338295"/>
    <n v="3"/>
    <n v="212.23402426828301"/>
    <m/>
  </r>
  <r>
    <x v="32"/>
    <x v="0"/>
    <x v="0"/>
    <x v="0"/>
    <n v="383.21568650701698"/>
    <n v="13"/>
    <n v="88.654228264524505"/>
    <m/>
  </r>
  <r>
    <x v="33"/>
    <x v="1"/>
    <x v="2"/>
    <x v="2"/>
    <n v="556.47039909951297"/>
    <n v="16"/>
    <n v="43.486835416051001"/>
    <m/>
  </r>
  <r>
    <x v="34"/>
    <x v="3"/>
    <x v="0"/>
    <x v="0"/>
    <n v="806.70559076979703"/>
    <n v="8"/>
    <n v="122.574484575632"/>
    <m/>
  </r>
  <r>
    <x v="35"/>
    <x v="4"/>
    <x v="3"/>
    <x v="0"/>
    <n v="55.596166848056797"/>
    <n v="15"/>
    <n v="15.099645965997"/>
    <m/>
  </r>
  <r>
    <x v="36"/>
    <x v="0"/>
    <x v="1"/>
    <x v="1"/>
    <n v="809.99848953227104"/>
    <n v="17"/>
    <n v="50.057238748059099"/>
    <m/>
  </r>
  <r>
    <x v="37"/>
    <x v="3"/>
    <x v="3"/>
    <x v="1"/>
    <n v="186.109242808533"/>
    <n v="17"/>
    <n v="54.037591916707001"/>
    <m/>
  </r>
  <r>
    <x v="38"/>
    <x v="3"/>
    <x v="2"/>
    <x v="3"/>
    <n v="519.53678095022406"/>
    <n v="13"/>
    <n v="114.189322669169"/>
    <m/>
  </r>
  <r>
    <x v="14"/>
    <x v="3"/>
    <x v="2"/>
    <x v="1"/>
    <n v="810.19268516037801"/>
    <n v="17"/>
    <n v="168.39368392617999"/>
    <m/>
  </r>
  <r>
    <x v="39"/>
    <x v="0"/>
    <x v="3"/>
    <x v="1"/>
    <n v="261.28286737512701"/>
    <n v="6"/>
    <n v="30.737267951272599"/>
    <m/>
  </r>
  <r>
    <x v="40"/>
    <x v="0"/>
    <x v="0"/>
    <x v="1"/>
    <n v="253.34936491309099"/>
    <n v="17"/>
    <n v="28.425278663820201"/>
    <m/>
  </r>
  <r>
    <x v="6"/>
    <x v="2"/>
    <x v="0"/>
    <x v="1"/>
    <n v="408.73675447762901"/>
    <n v="16"/>
    <n v="116.700292514567"/>
    <m/>
  </r>
  <r>
    <x v="41"/>
    <x v="4"/>
    <x v="2"/>
    <x v="3"/>
    <n v="895.69636960185801"/>
    <n v="14"/>
    <n v="111.575207082527"/>
    <m/>
  </r>
  <r>
    <x v="42"/>
    <x v="1"/>
    <x v="4"/>
    <x v="1"/>
    <n v="10.4383536228358"/>
    <n v="13"/>
    <n v="2.5456673120255702"/>
    <m/>
  </r>
  <r>
    <x v="43"/>
    <x v="3"/>
    <x v="0"/>
    <x v="2"/>
    <n v="902.36926567551495"/>
    <n v="6"/>
    <n v="133.803720376065"/>
    <m/>
  </r>
  <r>
    <x v="44"/>
    <x v="2"/>
    <x v="3"/>
    <x v="2"/>
    <n v="162.268954395191"/>
    <n v="3"/>
    <n v="13.762600835136499"/>
    <m/>
  </r>
  <r>
    <x v="45"/>
    <x v="1"/>
    <x v="0"/>
    <x v="2"/>
    <n v="990.18551230680703"/>
    <n v="14"/>
    <n v="52.161808749840098"/>
    <m/>
  </r>
  <r>
    <x v="46"/>
    <x v="2"/>
    <x v="3"/>
    <x v="2"/>
    <n v="955.29852310808303"/>
    <n v="14"/>
    <n v="177.74698371575599"/>
    <m/>
  </r>
  <r>
    <x v="47"/>
    <x v="0"/>
    <x v="2"/>
    <x v="1"/>
    <n v="499.72843769537002"/>
    <n v="15"/>
    <n v="146.89252801719101"/>
    <m/>
  </r>
  <r>
    <x v="48"/>
    <x v="3"/>
    <x v="0"/>
    <x v="2"/>
    <n v="517.59304533450097"/>
    <n v="8"/>
    <n v="73.645233940948302"/>
    <m/>
  </r>
  <r>
    <x v="49"/>
    <x v="1"/>
    <x v="3"/>
    <x v="1"/>
    <n v="486.73384687309499"/>
    <n v="15"/>
    <n v="67.801092043158306"/>
    <m/>
  </r>
  <r>
    <x v="50"/>
    <x v="1"/>
    <x v="2"/>
    <x v="3"/>
    <n v="639.08920920292701"/>
    <n v="13"/>
    <n v="86.930770446335302"/>
    <m/>
  </r>
  <r>
    <x v="51"/>
    <x v="1"/>
    <x v="4"/>
    <x v="2"/>
    <n v="99.814485212581701"/>
    <n v="17"/>
    <n v="17.980178048420601"/>
    <m/>
  </r>
  <r>
    <x v="52"/>
    <x v="1"/>
    <x v="3"/>
    <x v="0"/>
    <n v="42.291768858150803"/>
    <n v="3"/>
    <n v="6.7737127913285899"/>
    <m/>
  </r>
  <r>
    <x v="53"/>
    <x v="1"/>
    <x v="4"/>
    <x v="2"/>
    <n v="67.1258991317398"/>
    <n v="6"/>
    <n v="18.122560076142001"/>
    <m/>
  </r>
  <r>
    <x v="54"/>
    <x v="2"/>
    <x v="4"/>
    <x v="2"/>
    <n v="449.921695749099"/>
    <n v="5"/>
    <n v="79.357277749619897"/>
    <m/>
  </r>
  <r>
    <x v="55"/>
    <x v="3"/>
    <x v="1"/>
    <x v="1"/>
    <n v="282.79245982728798"/>
    <n v="17"/>
    <n v="50.0371450058473"/>
    <m/>
  </r>
  <r>
    <x v="56"/>
    <x v="0"/>
    <x v="0"/>
    <x v="2"/>
    <n v="625.81916674728302"/>
    <n v="2"/>
    <n v="52.939857364741997"/>
    <m/>
  </r>
  <r>
    <x v="57"/>
    <x v="0"/>
    <x v="3"/>
    <x v="0"/>
    <n v="992.51786648103098"/>
    <n v="15"/>
    <n v="293.47253143678199"/>
    <m/>
  </r>
  <r>
    <x v="12"/>
    <x v="0"/>
    <x v="4"/>
    <x v="1"/>
    <n v="392.459941345701"/>
    <n v="5"/>
    <n v="44.149083589384098"/>
    <m/>
  </r>
  <r>
    <x v="58"/>
    <x v="0"/>
    <x v="1"/>
    <x v="1"/>
    <n v="578.10284156346802"/>
    <n v="6"/>
    <n v="39.508136044935902"/>
    <m/>
  </r>
  <r>
    <x v="59"/>
    <x v="2"/>
    <x v="2"/>
    <x v="3"/>
    <n v="421.44785694826197"/>
    <n v="6"/>
    <n v="90.942784215883194"/>
    <m/>
  </r>
  <r>
    <x v="60"/>
    <x v="4"/>
    <x v="3"/>
    <x v="3"/>
    <n v="848.79895104464003"/>
    <n v="18"/>
    <n v="168.77653517133399"/>
    <m/>
  </r>
  <r>
    <x v="61"/>
    <x v="3"/>
    <x v="4"/>
    <x v="2"/>
    <n v="903.21403942761503"/>
    <n v="18"/>
    <n v="138.90204774478201"/>
    <m/>
  </r>
  <r>
    <x v="62"/>
    <x v="1"/>
    <x v="0"/>
    <x v="3"/>
    <n v="878.58205608320702"/>
    <n v="4"/>
    <n v="136.66173303047199"/>
    <m/>
  </r>
  <r>
    <x v="63"/>
    <x v="4"/>
    <x v="1"/>
    <x v="3"/>
    <n v="974.62851629246495"/>
    <n v="17"/>
    <n v="240.01784695568"/>
    <m/>
  </r>
  <r>
    <x v="64"/>
    <x v="0"/>
    <x v="4"/>
    <x v="3"/>
    <n v="37.243993289011101"/>
    <n v="14"/>
    <n v="3.6844797280620498"/>
    <m/>
  </r>
  <r>
    <x v="65"/>
    <x v="4"/>
    <x v="0"/>
    <x v="1"/>
    <n v="841.41800052407496"/>
    <n v="14"/>
    <n v="214.614876913665"/>
    <m/>
  </r>
  <r>
    <x v="66"/>
    <x v="3"/>
    <x v="4"/>
    <x v="1"/>
    <n v="754.25445130870196"/>
    <n v="13"/>
    <n v="160.04282217268201"/>
    <m/>
  </r>
  <r>
    <x v="67"/>
    <x v="1"/>
    <x v="3"/>
    <x v="1"/>
    <n v="236.40746530636099"/>
    <n v="7"/>
    <n v="36.582268830117201"/>
    <m/>
  </r>
  <r>
    <x v="68"/>
    <x v="1"/>
    <x v="3"/>
    <x v="3"/>
    <n v="956.75689245365197"/>
    <n v="12"/>
    <n v="157.393353587089"/>
    <m/>
  </r>
  <r>
    <x v="69"/>
    <x v="3"/>
    <x v="3"/>
    <x v="1"/>
    <n v="156.69614894764601"/>
    <n v="15"/>
    <n v="17.888714698439699"/>
    <m/>
  </r>
  <r>
    <x v="70"/>
    <x v="3"/>
    <x v="1"/>
    <x v="3"/>
    <n v="682.75442786256895"/>
    <n v="19"/>
    <n v="162.51506912006801"/>
    <m/>
  </r>
  <r>
    <x v="2"/>
    <x v="0"/>
    <x v="3"/>
    <x v="1"/>
    <n v="232.64131464775301"/>
    <n v="11"/>
    <n v="41.461029307268902"/>
    <m/>
  </r>
  <r>
    <x v="8"/>
    <x v="1"/>
    <x v="0"/>
    <x v="1"/>
    <n v="437.06684228633299"/>
    <n v="15"/>
    <n v="56.912062572541601"/>
    <m/>
  </r>
  <r>
    <x v="71"/>
    <x v="4"/>
    <x v="4"/>
    <x v="0"/>
    <n v="721.96829797512305"/>
    <n v="12"/>
    <n v="143.680736794708"/>
    <m/>
  </r>
  <r>
    <x v="32"/>
    <x v="2"/>
    <x v="2"/>
    <x v="2"/>
    <n v="567.69139561271595"/>
    <n v="3"/>
    <n v="169.70203996680499"/>
    <m/>
  </r>
  <r>
    <x v="72"/>
    <x v="2"/>
    <x v="0"/>
    <x v="3"/>
    <n v="433.22681301482999"/>
    <n v="17"/>
    <n v="68.803163211036207"/>
    <m/>
  </r>
  <r>
    <x v="73"/>
    <x v="3"/>
    <x v="0"/>
    <x v="0"/>
    <n v="333.075046622667"/>
    <n v="3"/>
    <n v="93.318585140990194"/>
    <m/>
  </r>
  <r>
    <x v="74"/>
    <x v="0"/>
    <x v="3"/>
    <x v="1"/>
    <n v="841.26305915170201"/>
    <n v="19"/>
    <n v="114.625633511033"/>
    <m/>
  </r>
  <r>
    <x v="75"/>
    <x v="2"/>
    <x v="1"/>
    <x v="3"/>
    <n v="152.37620681166501"/>
    <n v="4"/>
    <n v="9.7038009080242595"/>
    <m/>
  </r>
  <r>
    <x v="76"/>
    <x v="1"/>
    <x v="4"/>
    <x v="1"/>
    <n v="435.80184776450199"/>
    <n v="3"/>
    <n v="44.042364224893902"/>
    <m/>
  </r>
  <r>
    <x v="50"/>
    <x v="3"/>
    <x v="1"/>
    <x v="2"/>
    <n v="904.71999605738995"/>
    <n v="16"/>
    <n v="139.936466908037"/>
    <m/>
  </r>
  <r>
    <x v="77"/>
    <x v="4"/>
    <x v="4"/>
    <x v="0"/>
    <n v="847.39105495536796"/>
    <n v="12"/>
    <n v="88.898721209467993"/>
    <m/>
  </r>
  <r>
    <x v="78"/>
    <x v="3"/>
    <x v="4"/>
    <x v="2"/>
    <n v="406.93234484831601"/>
    <n v="8"/>
    <n v="20.369714541046999"/>
    <m/>
  </r>
  <r>
    <x v="71"/>
    <x v="4"/>
    <x v="1"/>
    <x v="0"/>
    <n v="765.477279965295"/>
    <n v="17"/>
    <n v="213.377086068024"/>
    <m/>
  </r>
  <r>
    <x v="31"/>
    <x v="3"/>
    <x v="0"/>
    <x v="1"/>
    <n v="824.92922240176995"/>
    <n v="7"/>
    <n v="215.28165774698701"/>
    <m/>
  </r>
  <r>
    <x v="79"/>
    <x v="3"/>
    <x v="4"/>
    <x v="2"/>
    <n v="889.99854976359302"/>
    <n v="11"/>
    <n v="209.65967986922001"/>
    <m/>
  </r>
  <r>
    <x v="80"/>
    <x v="3"/>
    <x v="1"/>
    <x v="2"/>
    <n v="549.06071135873503"/>
    <n v="18"/>
    <n v="50.488135883383499"/>
    <m/>
  </r>
  <r>
    <x v="81"/>
    <x v="4"/>
    <x v="4"/>
    <x v="1"/>
    <n v="212.416277194164"/>
    <n v="1"/>
    <n v="17.012609551783498"/>
    <m/>
  </r>
  <r>
    <x v="82"/>
    <x v="4"/>
    <x v="2"/>
    <x v="2"/>
    <n v="262.75598573889198"/>
    <n v="3"/>
    <n v="17.578687434006302"/>
    <m/>
  </r>
  <r>
    <x v="83"/>
    <x v="3"/>
    <x v="0"/>
    <x v="3"/>
    <n v="302.73772730118799"/>
    <n v="4"/>
    <n v="69.934624142268603"/>
    <m/>
  </r>
  <r>
    <x v="27"/>
    <x v="2"/>
    <x v="3"/>
    <x v="0"/>
    <n v="597.86445600151899"/>
    <n v="13"/>
    <n v="168.71853933671099"/>
    <m/>
  </r>
  <r>
    <x v="84"/>
    <x v="0"/>
    <x v="4"/>
    <x v="0"/>
    <n v="42.481527887322301"/>
    <n v="6"/>
    <n v="6.6965312650182103"/>
    <m/>
  </r>
  <r>
    <x v="85"/>
    <x v="0"/>
    <x v="2"/>
    <x v="0"/>
    <n v="639.68204409216798"/>
    <n v="14"/>
    <n v="51.037139353845099"/>
    <m/>
  </r>
  <r>
    <x v="18"/>
    <x v="0"/>
    <x v="3"/>
    <x v="3"/>
    <n v="370.71069604394899"/>
    <n v="5"/>
    <n v="66.022909607577901"/>
    <m/>
  </r>
  <r>
    <x v="86"/>
    <x v="4"/>
    <x v="3"/>
    <x v="0"/>
    <n v="302.28938446474501"/>
    <n v="16"/>
    <n v="41.476514870070297"/>
    <m/>
  </r>
  <r>
    <x v="87"/>
    <x v="4"/>
    <x v="4"/>
    <x v="1"/>
    <n v="880.70160502084502"/>
    <n v="15"/>
    <n v="126.562308370257"/>
    <m/>
  </r>
  <r>
    <x v="88"/>
    <x v="2"/>
    <x v="1"/>
    <x v="2"/>
    <n v="465.40237162499"/>
    <n v="15"/>
    <n v="95.562305092575002"/>
    <m/>
  </r>
  <r>
    <x v="89"/>
    <x v="0"/>
    <x v="4"/>
    <x v="3"/>
    <n v="104.102515077365"/>
    <n v="4"/>
    <n v="23.910216559431799"/>
    <m/>
  </r>
  <r>
    <x v="56"/>
    <x v="0"/>
    <x v="2"/>
    <x v="0"/>
    <n v="828.47930034598403"/>
    <n v="8"/>
    <n v="64.332163069845294"/>
    <m/>
  </r>
  <r>
    <x v="90"/>
    <x v="3"/>
    <x v="3"/>
    <x v="1"/>
    <n v="57.1648448621415"/>
    <n v="16"/>
    <n v="3.3668697487720798"/>
    <m/>
  </r>
  <r>
    <x v="91"/>
    <x v="4"/>
    <x v="4"/>
    <x v="2"/>
    <n v="729.48173192651404"/>
    <n v="16"/>
    <n v="217.81053442387301"/>
    <m/>
  </r>
  <r>
    <x v="92"/>
    <x v="0"/>
    <x v="1"/>
    <x v="2"/>
    <n v="776.16715955295797"/>
    <n v="4"/>
    <n v="83.967383358956297"/>
    <m/>
  </r>
  <r>
    <x v="93"/>
    <x v="2"/>
    <x v="4"/>
    <x v="3"/>
    <n v="359.076579869569"/>
    <n v="13"/>
    <n v="22.786149187656701"/>
    <m/>
  </r>
  <r>
    <x v="79"/>
    <x v="2"/>
    <x v="0"/>
    <x v="3"/>
    <n v="826.53997771500804"/>
    <n v="13"/>
    <n v="80.561886455643304"/>
    <m/>
  </r>
  <r>
    <x v="94"/>
    <x v="0"/>
    <x v="1"/>
    <x v="3"/>
    <n v="520.50281179788794"/>
    <n v="2"/>
    <n v="31.094557731385802"/>
    <m/>
  </r>
  <r>
    <x v="40"/>
    <x v="4"/>
    <x v="2"/>
    <x v="1"/>
    <n v="468.66071674006798"/>
    <n v="3"/>
    <n v="69.3396295114662"/>
    <m/>
  </r>
  <r>
    <x v="95"/>
    <x v="2"/>
    <x v="3"/>
    <x v="1"/>
    <n v="54.949248654005601"/>
    <n v="8"/>
    <n v="13.770306226258599"/>
    <m/>
  </r>
  <r>
    <x v="96"/>
    <x v="3"/>
    <x v="4"/>
    <x v="3"/>
    <n v="297.128901712416"/>
    <n v="15"/>
    <n v="40.204842228613202"/>
    <m/>
  </r>
  <r>
    <x v="97"/>
    <x v="2"/>
    <x v="1"/>
    <x v="0"/>
    <n v="931.69987117644598"/>
    <n v="11"/>
    <n v="150.046399300644"/>
    <m/>
  </r>
  <r>
    <x v="98"/>
    <x v="1"/>
    <x v="0"/>
    <x v="2"/>
    <n v="397.90572365066498"/>
    <n v="9"/>
    <n v="87.100247188825605"/>
    <m/>
  </r>
  <r>
    <x v="99"/>
    <x v="1"/>
    <x v="1"/>
    <x v="2"/>
    <n v="551.23351535120003"/>
    <n v="7"/>
    <n v="97.6915425640601"/>
    <m/>
  </r>
  <r>
    <x v="100"/>
    <x v="4"/>
    <x v="0"/>
    <x v="1"/>
    <n v="536.70146219440903"/>
    <n v="13"/>
    <n v="142.419862931898"/>
    <m/>
  </r>
  <r>
    <x v="101"/>
    <x v="0"/>
    <x v="2"/>
    <x v="2"/>
    <n v="594.52677892446604"/>
    <n v="2"/>
    <n v="158.44668902588"/>
    <m/>
  </r>
  <r>
    <x v="102"/>
    <x v="4"/>
    <x v="3"/>
    <x v="0"/>
    <n v="70.717646086849697"/>
    <n v="8"/>
    <n v="3.71109756839697"/>
    <m/>
  </r>
  <r>
    <x v="103"/>
    <x v="4"/>
    <x v="2"/>
    <x v="2"/>
    <n v="368.55449225074102"/>
    <n v="7"/>
    <n v="90.115839970907004"/>
    <m/>
  </r>
  <r>
    <x v="104"/>
    <x v="4"/>
    <x v="4"/>
    <x v="1"/>
    <n v="725.89699114372797"/>
    <n v="12"/>
    <n v="119.906133090748"/>
    <m/>
  </r>
  <r>
    <x v="12"/>
    <x v="4"/>
    <x v="1"/>
    <x v="1"/>
    <n v="208.55464856225299"/>
    <n v="19"/>
    <n v="61.984555322036002"/>
    <m/>
  </r>
  <r>
    <x v="105"/>
    <x v="3"/>
    <x v="0"/>
    <x v="0"/>
    <n v="211.54259377089599"/>
    <n v="7"/>
    <n v="36.133171369540896"/>
    <m/>
  </r>
  <r>
    <x v="54"/>
    <x v="3"/>
    <x v="0"/>
    <x v="0"/>
    <n v="19.9897006221344"/>
    <n v="10"/>
    <n v="5.9314236544843304"/>
    <m/>
  </r>
  <r>
    <x v="106"/>
    <x v="2"/>
    <x v="1"/>
    <x v="2"/>
    <n v="443.10710734212699"/>
    <n v="16"/>
    <n v="105.744117100324"/>
    <m/>
  </r>
  <r>
    <x v="107"/>
    <x v="1"/>
    <x v="1"/>
    <x v="2"/>
    <n v="883.90703686668701"/>
    <n v="3"/>
    <n v="99.131253570617503"/>
    <m/>
  </r>
  <r>
    <x v="14"/>
    <x v="4"/>
    <x v="4"/>
    <x v="1"/>
    <n v="61.3819341514359"/>
    <n v="10"/>
    <n v="11.3310279990857"/>
    <m/>
  </r>
  <r>
    <x v="108"/>
    <x v="2"/>
    <x v="2"/>
    <x v="0"/>
    <n v="199.20752240104201"/>
    <n v="6"/>
    <n v="59.3705967766277"/>
    <m/>
  </r>
  <r>
    <x v="109"/>
    <x v="1"/>
    <x v="0"/>
    <x v="0"/>
    <n v="316.98369295932702"/>
    <n v="18"/>
    <n v="83.804989365681706"/>
    <m/>
  </r>
  <r>
    <x v="64"/>
    <x v="0"/>
    <x v="4"/>
    <x v="0"/>
    <n v="734.40748919857003"/>
    <n v="18"/>
    <n v="54.597118459997098"/>
    <m/>
  </r>
  <r>
    <x v="110"/>
    <x v="3"/>
    <x v="2"/>
    <x v="2"/>
    <n v="644.22923687456"/>
    <n v="5"/>
    <n v="145.97783495734299"/>
    <m/>
  </r>
  <r>
    <x v="111"/>
    <x v="1"/>
    <x v="4"/>
    <x v="0"/>
    <n v="421.78446553603601"/>
    <n v="7"/>
    <n v="57.529248508473202"/>
    <m/>
  </r>
  <r>
    <x v="112"/>
    <x v="0"/>
    <x v="0"/>
    <x v="1"/>
    <n v="761.47824986579099"/>
    <n v="2"/>
    <n v="39.403122632477597"/>
    <m/>
  </r>
  <r>
    <x v="113"/>
    <x v="1"/>
    <x v="1"/>
    <x v="1"/>
    <n v="613.53470154033198"/>
    <n v="11"/>
    <n v="92.564129054312701"/>
    <m/>
  </r>
  <r>
    <x v="81"/>
    <x v="3"/>
    <x v="1"/>
    <x v="2"/>
    <n v="897.080391660646"/>
    <n v="13"/>
    <n v="97.502416729308806"/>
    <m/>
  </r>
  <r>
    <x v="49"/>
    <x v="3"/>
    <x v="2"/>
    <x v="3"/>
    <n v="819.84648164730595"/>
    <n v="5"/>
    <n v="208.829096673691"/>
    <m/>
  </r>
  <r>
    <x v="114"/>
    <x v="2"/>
    <x v="3"/>
    <x v="2"/>
    <n v="260.285470028308"/>
    <n v="6"/>
    <n v="34.964837521004299"/>
    <m/>
  </r>
  <r>
    <x v="115"/>
    <x v="4"/>
    <x v="2"/>
    <x v="3"/>
    <n v="278.72419185785799"/>
    <n v="14"/>
    <n v="71.598927803019706"/>
    <m/>
  </r>
  <r>
    <x v="88"/>
    <x v="1"/>
    <x v="3"/>
    <x v="0"/>
    <n v="134.10291103446099"/>
    <n v="12"/>
    <n v="6.7251918863147404"/>
    <m/>
  </r>
  <r>
    <x v="116"/>
    <x v="1"/>
    <x v="4"/>
    <x v="2"/>
    <n v="343.595078460281"/>
    <n v="4"/>
    <n v="43.6210401742145"/>
    <m/>
  </r>
  <r>
    <x v="93"/>
    <x v="0"/>
    <x v="4"/>
    <x v="1"/>
    <n v="999.54847953190301"/>
    <n v="6"/>
    <n v="110.241504795922"/>
    <m/>
  </r>
  <r>
    <x v="117"/>
    <x v="3"/>
    <x v="0"/>
    <x v="0"/>
    <n v="411.69365692891"/>
    <n v="10"/>
    <n v="44.624233100838403"/>
    <m/>
  </r>
  <r>
    <x v="118"/>
    <x v="1"/>
    <x v="3"/>
    <x v="1"/>
    <n v="228.28355034221499"/>
    <n v="18"/>
    <n v="15.3056484285843"/>
    <m/>
  </r>
  <r>
    <x v="119"/>
    <x v="3"/>
    <x v="0"/>
    <x v="0"/>
    <n v="764.85805563079703"/>
    <n v="15"/>
    <n v="74.023779188416796"/>
    <m/>
  </r>
  <r>
    <x v="120"/>
    <x v="1"/>
    <x v="1"/>
    <x v="2"/>
    <n v="547.046293428029"/>
    <n v="8"/>
    <n v="103.330147926767"/>
    <m/>
  </r>
  <r>
    <x v="93"/>
    <x v="2"/>
    <x v="3"/>
    <x v="3"/>
    <n v="158.10543503168299"/>
    <n v="9"/>
    <n v="19.421714044661499"/>
    <m/>
  </r>
  <r>
    <x v="75"/>
    <x v="4"/>
    <x v="2"/>
    <x v="0"/>
    <n v="386.88278434925701"/>
    <n v="5"/>
    <n v="59.714853107551001"/>
    <m/>
  </r>
  <r>
    <x v="121"/>
    <x v="1"/>
    <x v="1"/>
    <x v="3"/>
    <n v="420.32501838394899"/>
    <n v="10"/>
    <n v="60.617895521755898"/>
    <m/>
  </r>
  <r>
    <x v="122"/>
    <x v="3"/>
    <x v="1"/>
    <x v="0"/>
    <n v="756.29140356352605"/>
    <n v="6"/>
    <n v="203.42441145727"/>
    <m/>
  </r>
  <r>
    <x v="123"/>
    <x v="2"/>
    <x v="2"/>
    <x v="1"/>
    <n v="30.464655202985401"/>
    <n v="16"/>
    <n v="8.4181382252650696"/>
    <m/>
  </r>
  <r>
    <x v="124"/>
    <x v="1"/>
    <x v="1"/>
    <x v="1"/>
    <n v="276.32945033032701"/>
    <n v="3"/>
    <n v="47.871104770057997"/>
    <m/>
  </r>
  <r>
    <x v="125"/>
    <x v="0"/>
    <x v="3"/>
    <x v="0"/>
    <n v="522.42033830236596"/>
    <n v="10"/>
    <n v="69.241062729222605"/>
    <m/>
  </r>
  <r>
    <x v="126"/>
    <x v="4"/>
    <x v="0"/>
    <x v="3"/>
    <n v="276.15827502831399"/>
    <n v="11"/>
    <n v="21.181388298691299"/>
    <m/>
  </r>
  <r>
    <x v="84"/>
    <x v="1"/>
    <x v="1"/>
    <x v="2"/>
    <n v="632.14970694480803"/>
    <n v="11"/>
    <n v="182.28082304767199"/>
    <m/>
  </r>
  <r>
    <x v="127"/>
    <x v="2"/>
    <x v="3"/>
    <x v="2"/>
    <n v="487.04880448186998"/>
    <n v="17"/>
    <n v="31.685805601914801"/>
    <m/>
  </r>
  <r>
    <x v="128"/>
    <x v="0"/>
    <x v="4"/>
    <x v="1"/>
    <n v="368.09315231098401"/>
    <n v="4"/>
    <n v="45.795414854636199"/>
    <m/>
  </r>
  <r>
    <x v="129"/>
    <x v="2"/>
    <x v="3"/>
    <x v="2"/>
    <n v="949.71654060180697"/>
    <n v="4"/>
    <n v="118.25542739146501"/>
    <m/>
  </r>
  <r>
    <x v="130"/>
    <x v="2"/>
    <x v="0"/>
    <x v="1"/>
    <n v="635.83790419459206"/>
    <n v="17"/>
    <n v="82.722715779891203"/>
    <m/>
  </r>
  <r>
    <x v="131"/>
    <x v="0"/>
    <x v="3"/>
    <x v="2"/>
    <n v="138.64195854526099"/>
    <n v="9"/>
    <n v="12.6263603558894"/>
    <m/>
  </r>
  <r>
    <x v="30"/>
    <x v="2"/>
    <x v="2"/>
    <x v="0"/>
    <n v="564.49078046896102"/>
    <n v="19"/>
    <n v="138.74639086727399"/>
    <m/>
  </r>
  <r>
    <x v="132"/>
    <x v="0"/>
    <x v="0"/>
    <x v="1"/>
    <n v="782.92453466889197"/>
    <n v="5"/>
    <n v="63.122872127858599"/>
    <m/>
  </r>
  <r>
    <x v="100"/>
    <x v="1"/>
    <x v="4"/>
    <x v="1"/>
    <n v="711.40480051786903"/>
    <n v="6"/>
    <n v="148.489151326474"/>
    <m/>
  </r>
  <r>
    <x v="133"/>
    <x v="0"/>
    <x v="2"/>
    <x v="0"/>
    <n v="180.36833700230599"/>
    <n v="3"/>
    <n v="14.602892320433201"/>
    <m/>
  </r>
  <r>
    <x v="130"/>
    <x v="0"/>
    <x v="3"/>
    <x v="1"/>
    <n v="972.69579904970203"/>
    <n v="1"/>
    <n v="65.787219544975301"/>
    <m/>
  </r>
  <r>
    <x v="94"/>
    <x v="4"/>
    <x v="0"/>
    <x v="2"/>
    <n v="454.32550928913901"/>
    <n v="16"/>
    <n v="126.01053107062"/>
    <m/>
  </r>
  <r>
    <x v="134"/>
    <x v="0"/>
    <x v="4"/>
    <x v="2"/>
    <n v="167.43475370285799"/>
    <n v="11"/>
    <n v="16.330278475243102"/>
    <m/>
  </r>
  <r>
    <x v="65"/>
    <x v="0"/>
    <x v="2"/>
    <x v="1"/>
    <n v="188.39379658686599"/>
    <n v="13"/>
    <n v="48.099298470606698"/>
    <m/>
  </r>
  <r>
    <x v="51"/>
    <x v="1"/>
    <x v="4"/>
    <x v="2"/>
    <n v="107.252642267189"/>
    <n v="10"/>
    <n v="19.9659071099898"/>
    <m/>
  </r>
  <r>
    <x v="135"/>
    <x v="4"/>
    <x v="3"/>
    <x v="3"/>
    <n v="805.48292735058499"/>
    <n v="3"/>
    <n v="55.952170699479197"/>
    <m/>
  </r>
  <r>
    <x v="9"/>
    <x v="3"/>
    <x v="4"/>
    <x v="1"/>
    <n v="130.81018937863001"/>
    <n v="9"/>
    <n v="37.786099184802303"/>
    <m/>
  </r>
  <r>
    <x v="136"/>
    <x v="1"/>
    <x v="1"/>
    <x v="0"/>
    <n v="133.87400457032899"/>
    <n v="12"/>
    <n v="14.9591203281581"/>
    <m/>
  </r>
  <r>
    <x v="137"/>
    <x v="1"/>
    <x v="2"/>
    <x v="3"/>
    <n v="851.96689861322898"/>
    <n v="14"/>
    <n v="225.695689627501"/>
    <m/>
  </r>
  <r>
    <x v="93"/>
    <x v="3"/>
    <x v="4"/>
    <x v="1"/>
    <n v="351.15804360308402"/>
    <n v="1"/>
    <n v="32.377650023137399"/>
    <m/>
  </r>
  <r>
    <x v="32"/>
    <x v="0"/>
    <x v="3"/>
    <x v="0"/>
    <n v="40.549325264991701"/>
    <n v="18"/>
    <n v="10.684168184673201"/>
    <m/>
  </r>
  <r>
    <x v="138"/>
    <x v="2"/>
    <x v="3"/>
    <x v="2"/>
    <n v="61.376346523226701"/>
    <n v="17"/>
    <n v="3.2718013774029"/>
    <m/>
  </r>
  <r>
    <x v="112"/>
    <x v="4"/>
    <x v="4"/>
    <x v="0"/>
    <n v="150.748742236856"/>
    <n v="9"/>
    <n v="26.825002144156102"/>
    <m/>
  </r>
  <r>
    <x v="139"/>
    <x v="2"/>
    <x v="3"/>
    <x v="3"/>
    <n v="221.25941449593199"/>
    <n v="9"/>
    <n v="53.624574377560002"/>
    <m/>
  </r>
  <r>
    <x v="140"/>
    <x v="3"/>
    <x v="0"/>
    <x v="2"/>
    <n v="668.49473229602097"/>
    <n v="10"/>
    <n v="189.65120641926501"/>
    <m/>
  </r>
  <r>
    <x v="141"/>
    <x v="1"/>
    <x v="0"/>
    <x v="1"/>
    <n v="165.753017201809"/>
    <n v="19"/>
    <n v="45.963400190729502"/>
    <m/>
  </r>
  <r>
    <x v="142"/>
    <x v="1"/>
    <x v="0"/>
    <x v="2"/>
    <n v="127.685647265301"/>
    <n v="15"/>
    <n v="32.547865358997299"/>
    <m/>
  </r>
  <r>
    <x v="111"/>
    <x v="4"/>
    <x v="1"/>
    <x v="1"/>
    <n v="767.07195006151596"/>
    <n v="5"/>
    <n v="208.68026515619201"/>
    <m/>
  </r>
  <r>
    <x v="143"/>
    <x v="1"/>
    <x v="4"/>
    <x v="1"/>
    <n v="674.34473102131506"/>
    <n v="15"/>
    <n v="67.3029229160543"/>
    <m/>
  </r>
  <r>
    <x v="144"/>
    <x v="1"/>
    <x v="1"/>
    <x v="0"/>
    <n v="440.97097924068299"/>
    <n v="2"/>
    <n v="53.377805753240402"/>
    <m/>
  </r>
  <r>
    <x v="145"/>
    <x v="4"/>
    <x v="3"/>
    <x v="0"/>
    <n v="553.81667376530197"/>
    <n v="13"/>
    <n v="67.699730511926802"/>
    <m/>
  </r>
  <r>
    <x v="146"/>
    <x v="4"/>
    <x v="1"/>
    <x v="0"/>
    <n v="318.86418012315397"/>
    <n v="16"/>
    <n v="46.000457148924902"/>
    <m/>
  </r>
  <r>
    <x v="138"/>
    <x v="3"/>
    <x v="3"/>
    <x v="3"/>
    <n v="487.67541603300702"/>
    <n v="15"/>
    <n v="72.336976192769896"/>
    <m/>
  </r>
  <r>
    <x v="39"/>
    <x v="1"/>
    <x v="3"/>
    <x v="3"/>
    <n v="511.60592249291801"/>
    <n v="10"/>
    <n v="95.2297284292423"/>
    <m/>
  </r>
  <r>
    <x v="147"/>
    <x v="1"/>
    <x v="2"/>
    <x v="0"/>
    <n v="393.364898466314"/>
    <n v="14"/>
    <n v="35.391016644180397"/>
    <m/>
  </r>
  <r>
    <x v="104"/>
    <x v="3"/>
    <x v="0"/>
    <x v="3"/>
    <n v="907.50648856544103"/>
    <n v="10"/>
    <n v="202.20303257452099"/>
    <m/>
  </r>
  <r>
    <x v="13"/>
    <x v="0"/>
    <x v="3"/>
    <x v="2"/>
    <n v="25.901246331195999"/>
    <n v="14"/>
    <n v="2.3801078694078202"/>
    <m/>
  </r>
  <r>
    <x v="148"/>
    <x v="0"/>
    <x v="2"/>
    <x v="2"/>
    <n v="784.34955046033303"/>
    <n v="9"/>
    <n v="100.065057133699"/>
    <m/>
  </r>
  <r>
    <x v="126"/>
    <x v="0"/>
    <x v="0"/>
    <x v="3"/>
    <n v="133.139002928911"/>
    <n v="14"/>
    <n v="23.410667350952"/>
    <m/>
  </r>
  <r>
    <x v="119"/>
    <x v="3"/>
    <x v="3"/>
    <x v="3"/>
    <n v="799.57188693182695"/>
    <n v="3"/>
    <n v="199.181464998184"/>
    <m/>
  </r>
  <r>
    <x v="141"/>
    <x v="1"/>
    <x v="3"/>
    <x v="2"/>
    <n v="619.75279651995402"/>
    <n v="16"/>
    <n v="145.55967113603899"/>
    <m/>
  </r>
  <r>
    <x v="149"/>
    <x v="3"/>
    <x v="1"/>
    <x v="1"/>
    <n v="844.84531002703795"/>
    <n v="2"/>
    <n v="178.58643387004"/>
    <m/>
  </r>
  <r>
    <x v="150"/>
    <x v="3"/>
    <x v="1"/>
    <x v="2"/>
    <n v="106.539182384488"/>
    <n v="10"/>
    <n v="9.4759480741187208"/>
    <m/>
  </r>
  <r>
    <x v="145"/>
    <x v="0"/>
    <x v="0"/>
    <x v="2"/>
    <n v="563.39082775877603"/>
    <n v="3"/>
    <n v="105.21962390992501"/>
    <m/>
  </r>
  <r>
    <x v="118"/>
    <x v="2"/>
    <x v="3"/>
    <x v="3"/>
    <n v="506.077001459575"/>
    <n v="11"/>
    <n v="36.367515927732597"/>
    <m/>
  </r>
  <r>
    <x v="97"/>
    <x v="1"/>
    <x v="4"/>
    <x v="2"/>
    <n v="709.13125113372496"/>
    <n v="11"/>
    <n v="102.35656798008699"/>
    <m/>
  </r>
  <r>
    <x v="151"/>
    <x v="0"/>
    <x v="1"/>
    <x v="3"/>
    <n v="538.94764637473895"/>
    <n v="13"/>
    <n v="82.663322502942407"/>
    <m/>
  </r>
  <r>
    <x v="150"/>
    <x v="2"/>
    <x v="0"/>
    <x v="3"/>
    <n v="545.32722146177298"/>
    <n v="7"/>
    <n v="32.693926486925299"/>
    <m/>
  </r>
  <r>
    <x v="107"/>
    <x v="2"/>
    <x v="3"/>
    <x v="0"/>
    <n v="435.29998414030399"/>
    <n v="17"/>
    <n v="51.581753045492903"/>
    <m/>
  </r>
  <r>
    <x v="150"/>
    <x v="4"/>
    <x v="3"/>
    <x v="2"/>
    <n v="315.74607976726702"/>
    <n v="2"/>
    <n v="91.222947218631205"/>
    <m/>
  </r>
  <r>
    <x v="56"/>
    <x v="1"/>
    <x v="4"/>
    <x v="1"/>
    <n v="487.44171763967"/>
    <n v="12"/>
    <n v="140.58216497140899"/>
    <m/>
  </r>
  <r>
    <x v="127"/>
    <x v="2"/>
    <x v="0"/>
    <x v="0"/>
    <n v="127.307435180716"/>
    <n v="10"/>
    <n v="17.578835164452801"/>
    <m/>
  </r>
  <r>
    <x v="150"/>
    <x v="0"/>
    <x v="3"/>
    <x v="3"/>
    <n v="961.89820559325301"/>
    <n v="18"/>
    <n v="58.459389644229297"/>
    <m/>
  </r>
  <r>
    <x v="58"/>
    <x v="4"/>
    <x v="1"/>
    <x v="3"/>
    <n v="717.26665599033197"/>
    <n v="11"/>
    <n v="67.978039858695595"/>
    <m/>
  </r>
  <r>
    <x v="152"/>
    <x v="1"/>
    <x v="4"/>
    <x v="1"/>
    <n v="952.94244552096802"/>
    <n v="16"/>
    <n v="141.08736808889699"/>
    <m/>
  </r>
  <r>
    <x v="153"/>
    <x v="3"/>
    <x v="0"/>
    <x v="3"/>
    <n v="234.460108506663"/>
    <n v="17"/>
    <n v="67.277138131902802"/>
    <m/>
  </r>
  <r>
    <x v="59"/>
    <x v="0"/>
    <x v="4"/>
    <x v="2"/>
    <n v="880.54760997476205"/>
    <n v="19"/>
    <n v="75.110504980823805"/>
    <m/>
  </r>
  <r>
    <x v="154"/>
    <x v="2"/>
    <x v="1"/>
    <x v="0"/>
    <n v="810.70208471790295"/>
    <n v="18"/>
    <n v="195.281075780137"/>
    <m/>
  </r>
  <r>
    <x v="155"/>
    <x v="2"/>
    <x v="0"/>
    <x v="3"/>
    <n v="680.38088833309598"/>
    <n v="3"/>
    <n v="52.5054250881672"/>
    <m/>
  </r>
  <r>
    <x v="138"/>
    <x v="0"/>
    <x v="4"/>
    <x v="3"/>
    <n v="628.77889422435305"/>
    <n v="16"/>
    <n v="185.687458326556"/>
    <m/>
  </r>
  <r>
    <x v="156"/>
    <x v="2"/>
    <x v="2"/>
    <x v="1"/>
    <n v="323.38416861519102"/>
    <n v="6"/>
    <n v="47.021392004321399"/>
    <m/>
  </r>
  <r>
    <x v="152"/>
    <x v="4"/>
    <x v="1"/>
    <x v="2"/>
    <n v="818.24667711537995"/>
    <n v="12"/>
    <n v="199.49560521557501"/>
    <m/>
  </r>
  <r>
    <x v="50"/>
    <x v="1"/>
    <x v="1"/>
    <x v="3"/>
    <n v="506.50030686493602"/>
    <n v="11"/>
    <n v="68.705637486504102"/>
    <m/>
  </r>
  <r>
    <x v="104"/>
    <x v="4"/>
    <x v="1"/>
    <x v="1"/>
    <n v="80.182660132372504"/>
    <n v="15"/>
    <n v="16.591173069841702"/>
    <m/>
  </r>
  <r>
    <x v="64"/>
    <x v="2"/>
    <x v="2"/>
    <x v="3"/>
    <n v="319.73452924657801"/>
    <n v="15"/>
    <n v="31.335269577860601"/>
    <m/>
  </r>
  <r>
    <x v="126"/>
    <x v="3"/>
    <x v="2"/>
    <x v="1"/>
    <n v="935.944127559874"/>
    <n v="16"/>
    <n v="80.964085255818503"/>
    <m/>
  </r>
  <r>
    <x v="143"/>
    <x v="1"/>
    <x v="3"/>
    <x v="1"/>
    <n v="852.17345799879695"/>
    <n v="10"/>
    <n v="242.45701331005"/>
    <m/>
  </r>
  <r>
    <x v="157"/>
    <x v="1"/>
    <x v="4"/>
    <x v="2"/>
    <n v="982.08664109577296"/>
    <n v="12"/>
    <n v="274.40661527174899"/>
    <m/>
  </r>
  <r>
    <x v="158"/>
    <x v="0"/>
    <x v="3"/>
    <x v="3"/>
    <n v="631.713448778057"/>
    <n v="13"/>
    <n v="171.74218866522401"/>
    <m/>
  </r>
  <r>
    <x v="159"/>
    <x v="0"/>
    <x v="4"/>
    <x v="2"/>
    <n v="255.034972409007"/>
    <n v="4"/>
    <n v="52.628599297177303"/>
    <m/>
  </r>
  <r>
    <x v="160"/>
    <x v="3"/>
    <x v="2"/>
    <x v="1"/>
    <n v="171.186899180095"/>
    <n v="7"/>
    <n v="43.150577154993897"/>
    <m/>
  </r>
  <r>
    <x v="161"/>
    <x v="1"/>
    <x v="2"/>
    <x v="0"/>
    <n v="195.04529620237699"/>
    <n v="2"/>
    <n v="13.1185972623148"/>
    <m/>
  </r>
  <r>
    <x v="110"/>
    <x v="3"/>
    <x v="3"/>
    <x v="3"/>
    <n v="29.597701763781799"/>
    <n v="15"/>
    <n v="3.9571316421047298"/>
    <m/>
  </r>
  <r>
    <x v="19"/>
    <x v="0"/>
    <x v="0"/>
    <x v="0"/>
    <n v="396.775289876079"/>
    <n v="8"/>
    <n v="50.956176558942097"/>
    <m/>
  </r>
  <r>
    <x v="77"/>
    <x v="0"/>
    <x v="3"/>
    <x v="3"/>
    <n v="199.51340369454701"/>
    <n v="7"/>
    <n v="41.680610616047801"/>
    <m/>
  </r>
  <r>
    <x v="162"/>
    <x v="1"/>
    <x v="4"/>
    <x v="2"/>
    <n v="417.53890585213497"/>
    <n v="15"/>
    <n v="58.033500108730102"/>
    <m/>
  </r>
  <r>
    <x v="163"/>
    <x v="4"/>
    <x v="3"/>
    <x v="2"/>
    <n v="935.64448752037697"/>
    <n v="14"/>
    <n v="81.519612277094396"/>
    <m/>
  </r>
  <r>
    <x v="143"/>
    <x v="2"/>
    <x v="1"/>
    <x v="2"/>
    <n v="436.23480741211802"/>
    <n v="8"/>
    <n v="86.86166531328"/>
    <m/>
  </r>
  <r>
    <x v="164"/>
    <x v="0"/>
    <x v="4"/>
    <x v="2"/>
    <n v="879.20465201498598"/>
    <n v="12"/>
    <n v="222.96276549536401"/>
    <m/>
  </r>
  <r>
    <x v="165"/>
    <x v="0"/>
    <x v="4"/>
    <x v="2"/>
    <n v="609.44971894971695"/>
    <n v="13"/>
    <n v="88.693750023164498"/>
    <m/>
  </r>
  <r>
    <x v="166"/>
    <x v="4"/>
    <x v="0"/>
    <x v="0"/>
    <n v="254.66023911477799"/>
    <n v="11"/>
    <n v="21.153907609334802"/>
    <m/>
  </r>
  <r>
    <x v="95"/>
    <x v="4"/>
    <x v="2"/>
    <x v="2"/>
    <n v="362.296211666619"/>
    <n v="17"/>
    <n v="35.929657774824001"/>
    <m/>
  </r>
  <r>
    <x v="167"/>
    <x v="3"/>
    <x v="4"/>
    <x v="1"/>
    <n v="93.080340463215094"/>
    <n v="17"/>
    <n v="10.180273748034701"/>
    <m/>
  </r>
  <r>
    <x v="127"/>
    <x v="3"/>
    <x v="2"/>
    <x v="1"/>
    <n v="340.12796766004999"/>
    <n v="4"/>
    <n v="42.507288085845602"/>
    <m/>
  </r>
  <r>
    <x v="168"/>
    <x v="2"/>
    <x v="3"/>
    <x v="0"/>
    <n v="680.76553604849801"/>
    <n v="8"/>
    <n v="143.436459488064"/>
    <m/>
  </r>
  <r>
    <x v="1"/>
    <x v="2"/>
    <x v="1"/>
    <x v="3"/>
    <n v="81.389982000140805"/>
    <n v="5"/>
    <n v="16.2972346424047"/>
    <m/>
  </r>
  <r>
    <x v="142"/>
    <x v="1"/>
    <x v="0"/>
    <x v="1"/>
    <n v="213.347394393249"/>
    <n v="16"/>
    <n v="47.794075908397701"/>
    <m/>
  </r>
  <r>
    <x v="169"/>
    <x v="3"/>
    <x v="2"/>
    <x v="3"/>
    <n v="387.62663099917802"/>
    <n v="4"/>
    <n v="54.510187298575502"/>
    <m/>
  </r>
  <r>
    <x v="71"/>
    <x v="0"/>
    <x v="4"/>
    <x v="0"/>
    <n v="982.229041645802"/>
    <n v="15"/>
    <n v="251.45005806340501"/>
    <m/>
  </r>
  <r>
    <x v="49"/>
    <x v="3"/>
    <x v="2"/>
    <x v="3"/>
    <n v="787.01320472929103"/>
    <n v="12"/>
    <n v="79.505581299439697"/>
    <m/>
  </r>
  <r>
    <x v="170"/>
    <x v="0"/>
    <x v="4"/>
    <x v="3"/>
    <n v="736.15187902718196"/>
    <n v="5"/>
    <n v="123.12890085781"/>
    <m/>
  </r>
  <r>
    <x v="169"/>
    <x v="4"/>
    <x v="2"/>
    <x v="3"/>
    <n v="125.029046960191"/>
    <n v="16"/>
    <n v="31.286603604969301"/>
    <m/>
  </r>
  <r>
    <x v="116"/>
    <x v="3"/>
    <x v="4"/>
    <x v="3"/>
    <n v="783.18593467884102"/>
    <n v="14"/>
    <n v="74.433726462678905"/>
    <m/>
  </r>
  <r>
    <x v="171"/>
    <x v="4"/>
    <x v="3"/>
    <x v="0"/>
    <n v="787.41612340085499"/>
    <n v="10"/>
    <n v="60.997802951671297"/>
    <m/>
  </r>
  <r>
    <x v="172"/>
    <x v="2"/>
    <x v="4"/>
    <x v="1"/>
    <n v="605.09166866808505"/>
    <n v="7"/>
    <n v="163.932035079294"/>
    <m/>
  </r>
  <r>
    <x v="136"/>
    <x v="2"/>
    <x v="4"/>
    <x v="2"/>
    <n v="990.45816417838796"/>
    <n v="13"/>
    <n v="134.43727926361601"/>
    <m/>
  </r>
  <r>
    <x v="173"/>
    <x v="1"/>
    <x v="1"/>
    <x v="3"/>
    <n v="332.00136686530601"/>
    <n v="5"/>
    <n v="73.361522400301894"/>
    <m/>
  </r>
  <r>
    <x v="76"/>
    <x v="3"/>
    <x v="4"/>
    <x v="1"/>
    <n v="941.859723759433"/>
    <n v="3"/>
    <n v="53.061693540401698"/>
    <m/>
  </r>
  <r>
    <x v="12"/>
    <x v="4"/>
    <x v="1"/>
    <x v="1"/>
    <n v="915.58380380693802"/>
    <n v="15"/>
    <n v="203.728128914113"/>
    <m/>
  </r>
  <r>
    <x v="86"/>
    <x v="0"/>
    <x v="0"/>
    <x v="0"/>
    <n v="21.365853151884"/>
    <n v="4"/>
    <n v="2.7567362085018301"/>
    <m/>
  </r>
  <r>
    <x v="174"/>
    <x v="2"/>
    <x v="1"/>
    <x v="1"/>
    <n v="455.61536121006202"/>
    <n v="15"/>
    <n v="29.129865345852998"/>
    <m/>
  </r>
  <r>
    <x v="175"/>
    <x v="2"/>
    <x v="3"/>
    <x v="0"/>
    <n v="977.33319072105701"/>
    <n v="14"/>
    <n v="197.86422253261301"/>
    <m/>
  </r>
  <r>
    <x v="176"/>
    <x v="0"/>
    <x v="1"/>
    <x v="3"/>
    <n v="112.09014878399501"/>
    <n v="19"/>
    <n v="12.352441332048601"/>
    <m/>
  </r>
  <r>
    <x v="103"/>
    <x v="4"/>
    <x v="0"/>
    <x v="3"/>
    <n v="552.30684743948598"/>
    <n v="13"/>
    <n v="81.024414478083301"/>
    <m/>
  </r>
  <r>
    <x v="177"/>
    <x v="4"/>
    <x v="3"/>
    <x v="2"/>
    <n v="979.16793197069296"/>
    <n v="10"/>
    <n v="68.683933429310599"/>
    <m/>
  </r>
  <r>
    <x v="71"/>
    <x v="3"/>
    <x v="2"/>
    <x v="2"/>
    <n v="559.940469864801"/>
    <n v="5"/>
    <n v="48.597688484473899"/>
    <m/>
  </r>
  <r>
    <x v="165"/>
    <x v="3"/>
    <x v="2"/>
    <x v="2"/>
    <n v="197.91714994243401"/>
    <n v="6"/>
    <n v="24.639558796387401"/>
    <m/>
  </r>
  <r>
    <x v="49"/>
    <x v="1"/>
    <x v="1"/>
    <x v="1"/>
    <n v="586.36139779166297"/>
    <n v="4"/>
    <n v="42.475946442967"/>
    <m/>
  </r>
  <r>
    <x v="178"/>
    <x v="2"/>
    <x v="1"/>
    <x v="3"/>
    <n v="212.396168210051"/>
    <n v="2"/>
    <n v="58.983810541614403"/>
    <m/>
  </r>
  <r>
    <x v="179"/>
    <x v="3"/>
    <x v="0"/>
    <x v="0"/>
    <n v="524.50722026553899"/>
    <n v="16"/>
    <n v="27.018290466090502"/>
    <m/>
  </r>
  <r>
    <x v="58"/>
    <x v="4"/>
    <x v="0"/>
    <x v="2"/>
    <n v="83.301795733224495"/>
    <n v="18"/>
    <n v="14.2416960654782"/>
    <m/>
  </r>
  <r>
    <x v="70"/>
    <x v="0"/>
    <x v="4"/>
    <x v="0"/>
    <n v="609.42784252225999"/>
    <n v="5"/>
    <n v="49.249000252631397"/>
    <m/>
  </r>
  <r>
    <x v="180"/>
    <x v="4"/>
    <x v="0"/>
    <x v="0"/>
    <n v="521.62203973687599"/>
    <n v="4"/>
    <n v="66.204150546311894"/>
    <m/>
  </r>
  <r>
    <x v="181"/>
    <x v="2"/>
    <x v="4"/>
    <x v="2"/>
    <n v="742.75975507384805"/>
    <n v="13"/>
    <n v="209.09793071229501"/>
    <m/>
  </r>
  <r>
    <x v="182"/>
    <x v="4"/>
    <x v="3"/>
    <x v="3"/>
    <n v="634.39346644719706"/>
    <n v="19"/>
    <n v="57.364165361638698"/>
    <m/>
  </r>
  <r>
    <x v="126"/>
    <x v="1"/>
    <x v="1"/>
    <x v="2"/>
    <n v="554.11020584544895"/>
    <n v="2"/>
    <n v="161.49989666510001"/>
    <m/>
  </r>
  <r>
    <x v="85"/>
    <x v="2"/>
    <x v="3"/>
    <x v="0"/>
    <n v="692.88106075563996"/>
    <n v="13"/>
    <n v="70.291809594276103"/>
    <m/>
  </r>
  <r>
    <x v="141"/>
    <x v="0"/>
    <x v="0"/>
    <x v="2"/>
    <n v="152.50249443650799"/>
    <n v="11"/>
    <n v="35.897795054516898"/>
    <m/>
  </r>
  <r>
    <x v="103"/>
    <x v="1"/>
    <x v="3"/>
    <x v="0"/>
    <n v="599.40606464601797"/>
    <n v="4"/>
    <n v="111.89072022818701"/>
    <m/>
  </r>
  <r>
    <x v="170"/>
    <x v="2"/>
    <x v="3"/>
    <x v="0"/>
    <n v="180.38949679454899"/>
    <n v="15"/>
    <n v="48.907142988893199"/>
    <m/>
  </r>
  <r>
    <x v="70"/>
    <x v="0"/>
    <x v="3"/>
    <x v="2"/>
    <n v="926.26698577336197"/>
    <n v="4"/>
    <n v="174.59976501708201"/>
    <m/>
  </r>
  <r>
    <x v="74"/>
    <x v="1"/>
    <x v="0"/>
    <x v="1"/>
    <n v="77.650763797148102"/>
    <n v="9"/>
    <n v="14.259771105431"/>
    <m/>
  </r>
  <r>
    <x v="14"/>
    <x v="1"/>
    <x v="3"/>
    <x v="2"/>
    <n v="436.07100219388502"/>
    <n v="7"/>
    <n v="43.1119416365595"/>
    <m/>
  </r>
  <r>
    <x v="13"/>
    <x v="2"/>
    <x v="4"/>
    <x v="1"/>
    <n v="698.83950287889002"/>
    <n v="19"/>
    <n v="63.983886328958498"/>
    <m/>
  </r>
  <r>
    <x v="59"/>
    <x v="3"/>
    <x v="0"/>
    <x v="0"/>
    <n v="463.441989551576"/>
    <n v="19"/>
    <n v="129.35698837643099"/>
    <m/>
  </r>
  <r>
    <x v="183"/>
    <x v="1"/>
    <x v="3"/>
    <x v="0"/>
    <n v="101.174300700573"/>
    <n v="6"/>
    <n v="13.350915162925499"/>
    <m/>
  </r>
  <r>
    <x v="22"/>
    <x v="1"/>
    <x v="0"/>
    <x v="1"/>
    <n v="557.84522596544002"/>
    <n v="6"/>
    <n v="79.783338697648801"/>
    <m/>
  </r>
  <r>
    <x v="140"/>
    <x v="0"/>
    <x v="2"/>
    <x v="0"/>
    <n v="645.215589739081"/>
    <n v="15"/>
    <n v="154.82329695459799"/>
    <m/>
  </r>
  <r>
    <x v="184"/>
    <x v="4"/>
    <x v="4"/>
    <x v="1"/>
    <n v="706.75438788060205"/>
    <n v="15"/>
    <n v="95.203965123856406"/>
    <m/>
  </r>
  <r>
    <x v="150"/>
    <x v="2"/>
    <x v="3"/>
    <x v="1"/>
    <n v="379.52721631813102"/>
    <n v="9"/>
    <n v="109.309763349389"/>
    <m/>
  </r>
  <r>
    <x v="185"/>
    <x v="2"/>
    <x v="2"/>
    <x v="0"/>
    <n v="568.02337131847401"/>
    <n v="4"/>
    <n v="133.191223349978"/>
    <m/>
  </r>
  <r>
    <x v="51"/>
    <x v="3"/>
    <x v="2"/>
    <x v="3"/>
    <n v="456.179610189524"/>
    <n v="18"/>
    <n v="90.942740257717503"/>
    <m/>
  </r>
  <r>
    <x v="180"/>
    <x v="3"/>
    <x v="0"/>
    <x v="1"/>
    <n v="675.33547836472997"/>
    <n v="18"/>
    <n v="182.49171257715301"/>
    <m/>
  </r>
  <r>
    <x v="106"/>
    <x v="2"/>
    <x v="2"/>
    <x v="2"/>
    <n v="587.72139765156999"/>
    <n v="5"/>
    <n v="36.674683329311897"/>
    <m/>
  </r>
  <r>
    <x v="178"/>
    <x v="3"/>
    <x v="4"/>
    <x v="2"/>
    <n v="530.49865736354297"/>
    <n v="11"/>
    <n v="60.617786134335397"/>
    <m/>
  </r>
  <r>
    <x v="103"/>
    <x v="0"/>
    <x v="4"/>
    <x v="0"/>
    <n v="257.02912316986601"/>
    <n v="5"/>
    <n v="42.733426465225598"/>
    <m/>
  </r>
  <r>
    <x v="186"/>
    <x v="2"/>
    <x v="1"/>
    <x v="3"/>
    <n v="11.998332570751501"/>
    <n v="4"/>
    <n v="1.2807576292882701"/>
    <m/>
  </r>
  <r>
    <x v="1"/>
    <x v="3"/>
    <x v="4"/>
    <x v="0"/>
    <n v="182.34085855831401"/>
    <n v="12"/>
    <n v="43.028120562580298"/>
    <m/>
  </r>
  <r>
    <x v="76"/>
    <x v="2"/>
    <x v="2"/>
    <x v="3"/>
    <n v="125.895381009926"/>
    <n v="2"/>
    <n v="35.225780374719697"/>
    <m/>
  </r>
  <r>
    <x v="187"/>
    <x v="4"/>
    <x v="4"/>
    <x v="1"/>
    <n v="454.59389756083698"/>
    <n v="13"/>
    <n v="70.890522500347302"/>
    <m/>
  </r>
  <r>
    <x v="62"/>
    <x v="1"/>
    <x v="0"/>
    <x v="1"/>
    <n v="616.13556925422597"/>
    <n v="10"/>
    <n v="83.506794545304004"/>
    <m/>
  </r>
  <r>
    <x v="90"/>
    <x v="2"/>
    <x v="1"/>
    <x v="1"/>
    <n v="220.95415859796"/>
    <n v="9"/>
    <n v="64.162366172075096"/>
    <m/>
  </r>
  <r>
    <x v="74"/>
    <x v="1"/>
    <x v="2"/>
    <x v="1"/>
    <n v="939.66652500751502"/>
    <n v="10"/>
    <n v="151.486561174424"/>
    <m/>
  </r>
  <r>
    <x v="188"/>
    <x v="3"/>
    <x v="1"/>
    <x v="2"/>
    <n v="16.6153079316489"/>
    <n v="7"/>
    <n v="2.8621878383187398"/>
    <m/>
  </r>
  <r>
    <x v="22"/>
    <x v="1"/>
    <x v="2"/>
    <x v="2"/>
    <n v="774.57800501368899"/>
    <n v="4"/>
    <n v="106.823964396162"/>
    <m/>
  </r>
  <r>
    <x v="189"/>
    <x v="2"/>
    <x v="0"/>
    <x v="0"/>
    <n v="628.95272183513703"/>
    <n v="19"/>
    <n v="174.46338302725101"/>
    <m/>
  </r>
  <r>
    <x v="91"/>
    <x v="4"/>
    <x v="1"/>
    <x v="3"/>
    <n v="379.81925303720499"/>
    <n v="10"/>
    <n v="73.016024319743906"/>
    <m/>
  </r>
  <r>
    <x v="21"/>
    <x v="3"/>
    <x v="3"/>
    <x v="1"/>
    <n v="59.9840549682838"/>
    <n v="3"/>
    <n v="14.428783331647301"/>
    <m/>
  </r>
  <r>
    <x v="70"/>
    <x v="2"/>
    <x v="2"/>
    <x v="1"/>
    <n v="631.21170606643602"/>
    <n v="19"/>
    <n v="159.66606122493599"/>
    <m/>
  </r>
  <r>
    <x v="40"/>
    <x v="3"/>
    <x v="3"/>
    <x v="3"/>
    <n v="391.75737773699097"/>
    <n v="2"/>
    <n v="53.068339947701503"/>
    <m/>
  </r>
  <r>
    <x v="190"/>
    <x v="0"/>
    <x v="1"/>
    <x v="3"/>
    <n v="936.90446801908695"/>
    <n v="10"/>
    <n v="148.42776259310699"/>
    <m/>
  </r>
  <r>
    <x v="136"/>
    <x v="1"/>
    <x v="3"/>
    <x v="0"/>
    <n v="546.57017414086795"/>
    <n v="2"/>
    <n v="143.26585007975399"/>
    <m/>
  </r>
  <r>
    <x v="98"/>
    <x v="0"/>
    <x v="3"/>
    <x v="3"/>
    <n v="940.25499618057302"/>
    <n v="2"/>
    <n v="132.400914634656"/>
    <m/>
  </r>
  <r>
    <x v="191"/>
    <x v="2"/>
    <x v="1"/>
    <x v="1"/>
    <n v="228.27885653857101"/>
    <n v="17"/>
    <n v="56.723593934475097"/>
    <m/>
  </r>
  <r>
    <x v="24"/>
    <x v="4"/>
    <x v="0"/>
    <x v="1"/>
    <n v="728.46865126046202"/>
    <n v="16"/>
    <n v="207.79428458108501"/>
    <m/>
  </r>
  <r>
    <x v="192"/>
    <x v="3"/>
    <x v="3"/>
    <x v="1"/>
    <n v="621.07653064023805"/>
    <n v="16"/>
    <n v="127.819160623033"/>
    <m/>
  </r>
  <r>
    <x v="193"/>
    <x v="1"/>
    <x v="3"/>
    <x v="1"/>
    <n v="742.01414753299798"/>
    <n v="14"/>
    <n v="174.67519224810499"/>
    <m/>
  </r>
  <r>
    <x v="194"/>
    <x v="3"/>
    <x v="0"/>
    <x v="1"/>
    <n v="222.521185332811"/>
    <n v="7"/>
    <n v="55.913861312553898"/>
    <m/>
  </r>
  <r>
    <x v="195"/>
    <x v="2"/>
    <x v="3"/>
    <x v="0"/>
    <n v="668.34457107539595"/>
    <n v="11"/>
    <n v="174.611643974652"/>
    <m/>
  </r>
  <r>
    <x v="196"/>
    <x v="3"/>
    <x v="3"/>
    <x v="1"/>
    <n v="503.05998912630002"/>
    <n v="1"/>
    <n v="74.8368814179521"/>
    <m/>
  </r>
  <r>
    <x v="34"/>
    <x v="1"/>
    <x v="3"/>
    <x v="0"/>
    <n v="745.39672515725294"/>
    <n v="11"/>
    <n v="46.822739905368003"/>
    <m/>
  </r>
  <r>
    <x v="53"/>
    <x v="2"/>
    <x v="4"/>
    <x v="1"/>
    <n v="333.77419771029901"/>
    <n v="4"/>
    <n v="50.222692388227301"/>
    <m/>
  </r>
  <r>
    <x v="112"/>
    <x v="3"/>
    <x v="0"/>
    <x v="2"/>
    <n v="891.15645521060003"/>
    <n v="7"/>
    <n v="194.663376113141"/>
    <m/>
  </r>
  <r>
    <x v="197"/>
    <x v="4"/>
    <x v="3"/>
    <x v="2"/>
    <n v="93.458301465236801"/>
    <n v="15"/>
    <n v="15.1951606030836"/>
    <m/>
  </r>
  <r>
    <x v="198"/>
    <x v="2"/>
    <x v="0"/>
    <x v="2"/>
    <n v="809.11742560327605"/>
    <n v="18"/>
    <n v="191.95565540413401"/>
    <m/>
  </r>
  <r>
    <x v="21"/>
    <x v="2"/>
    <x v="2"/>
    <x v="2"/>
    <n v="862.70642955693995"/>
    <n v="12"/>
    <n v="120.128080763215"/>
    <m/>
  </r>
  <r>
    <x v="135"/>
    <x v="4"/>
    <x v="2"/>
    <x v="0"/>
    <n v="819.07978825315297"/>
    <n v="17"/>
    <n v="170.93051358526199"/>
    <m/>
  </r>
  <r>
    <x v="166"/>
    <x v="0"/>
    <x v="3"/>
    <x v="0"/>
    <n v="517.59913031915801"/>
    <n v="1"/>
    <n v="50.002638732629002"/>
    <m/>
  </r>
  <r>
    <x v="130"/>
    <x v="1"/>
    <x v="0"/>
    <x v="3"/>
    <n v="444.00113023045299"/>
    <n v="11"/>
    <n v="105.380275719152"/>
    <m/>
  </r>
  <r>
    <x v="199"/>
    <x v="0"/>
    <x v="0"/>
    <x v="1"/>
    <n v="996.29966365962798"/>
    <n v="1"/>
    <n v="185.73416073018899"/>
    <m/>
  </r>
  <r>
    <x v="70"/>
    <x v="3"/>
    <x v="0"/>
    <x v="2"/>
    <n v="236.88023170202001"/>
    <n v="15"/>
    <n v="23.9287164953634"/>
    <m/>
  </r>
  <r>
    <x v="170"/>
    <x v="4"/>
    <x v="4"/>
    <x v="0"/>
    <n v="551.40720621728406"/>
    <n v="10"/>
    <n v="67.810841471372896"/>
    <m/>
  </r>
  <r>
    <x v="200"/>
    <x v="0"/>
    <x v="2"/>
    <x v="1"/>
    <n v="673.968770128502"/>
    <n v="7"/>
    <n v="159.83316116402099"/>
    <m/>
  </r>
  <r>
    <x v="54"/>
    <x v="2"/>
    <x v="0"/>
    <x v="1"/>
    <n v="703.85895950281702"/>
    <n v="2"/>
    <n v="120.11374887201301"/>
    <m/>
  </r>
  <r>
    <x v="20"/>
    <x v="3"/>
    <x v="0"/>
    <x v="0"/>
    <n v="211.98441908119199"/>
    <n v="10"/>
    <n v="22.048045802809298"/>
    <m/>
  </r>
  <r>
    <x v="28"/>
    <x v="3"/>
    <x v="4"/>
    <x v="2"/>
    <n v="657.45415141640296"/>
    <n v="4"/>
    <n v="191.85682248442899"/>
    <m/>
  </r>
  <r>
    <x v="201"/>
    <x v="0"/>
    <x v="4"/>
    <x v="3"/>
    <n v="820.18587081652299"/>
    <n v="12"/>
    <n v="187.643152821125"/>
    <m/>
  </r>
  <r>
    <x v="104"/>
    <x v="0"/>
    <x v="0"/>
    <x v="1"/>
    <n v="59.518391052901002"/>
    <n v="19"/>
    <n v="17.217700866009199"/>
    <m/>
  </r>
  <r>
    <x v="153"/>
    <x v="4"/>
    <x v="1"/>
    <x v="3"/>
    <n v="912.40608039206302"/>
    <n v="11"/>
    <n v="143.043614107829"/>
    <m/>
  </r>
  <r>
    <x v="193"/>
    <x v="1"/>
    <x v="0"/>
    <x v="2"/>
    <n v="39.2090145937538"/>
    <n v="8"/>
    <n v="6.6175047776074596"/>
    <m/>
  </r>
  <r>
    <x v="202"/>
    <x v="0"/>
    <x v="0"/>
    <x v="2"/>
    <n v="362.41132216351002"/>
    <n v="18"/>
    <n v="99.477850393483905"/>
    <m/>
  </r>
  <r>
    <x v="203"/>
    <x v="0"/>
    <x v="4"/>
    <x v="3"/>
    <n v="25.655064270632401"/>
    <n v="11"/>
    <n v="4.6502968558437399"/>
    <m/>
  </r>
  <r>
    <x v="103"/>
    <x v="2"/>
    <x v="4"/>
    <x v="2"/>
    <n v="86.373716854186"/>
    <n v="11"/>
    <n v="19.591262961178501"/>
    <m/>
  </r>
  <r>
    <x v="141"/>
    <x v="3"/>
    <x v="0"/>
    <x v="1"/>
    <n v="912.05660232827802"/>
    <n v="13"/>
    <n v="103.101814578393"/>
    <m/>
  </r>
  <r>
    <x v="182"/>
    <x v="1"/>
    <x v="0"/>
    <x v="3"/>
    <n v="361.31222243868598"/>
    <n v="3"/>
    <n v="58.417544429218601"/>
    <m/>
  </r>
  <r>
    <x v="77"/>
    <x v="2"/>
    <x v="0"/>
    <x v="2"/>
    <n v="430.523815120802"/>
    <n v="12"/>
    <n v="34.813217557246404"/>
    <m/>
  </r>
  <r>
    <x v="1"/>
    <x v="4"/>
    <x v="4"/>
    <x v="3"/>
    <n v="223.19093756872701"/>
    <n v="3"/>
    <n v="22.6527662103911"/>
    <m/>
  </r>
  <r>
    <x v="204"/>
    <x v="4"/>
    <x v="0"/>
    <x v="1"/>
    <n v="601.12481248485199"/>
    <n v="10"/>
    <n v="30.1980182057051"/>
    <m/>
  </r>
  <r>
    <x v="205"/>
    <x v="0"/>
    <x v="0"/>
    <x v="2"/>
    <n v="598.855182531011"/>
    <n v="17"/>
    <n v="35.821279044587499"/>
    <m/>
  </r>
  <r>
    <x v="206"/>
    <x v="0"/>
    <x v="3"/>
    <x v="1"/>
    <n v="378.47838790696699"/>
    <n v="2"/>
    <n v="111.39412087623801"/>
    <m/>
  </r>
  <r>
    <x v="103"/>
    <x v="4"/>
    <x v="1"/>
    <x v="2"/>
    <n v="339.704523087344"/>
    <n v="17"/>
    <n v="37.567387760589597"/>
    <m/>
  </r>
  <r>
    <x v="31"/>
    <x v="0"/>
    <x v="2"/>
    <x v="0"/>
    <n v="886.11466509878096"/>
    <n v="16"/>
    <n v="191.248070057082"/>
    <m/>
  </r>
  <r>
    <x v="140"/>
    <x v="1"/>
    <x v="1"/>
    <x v="2"/>
    <n v="389.45139724577899"/>
    <n v="2"/>
    <n v="101.169707393794"/>
    <m/>
  </r>
  <r>
    <x v="63"/>
    <x v="0"/>
    <x v="3"/>
    <x v="3"/>
    <n v="498.56598223286397"/>
    <n v="6"/>
    <n v="93.563442295662597"/>
    <m/>
  </r>
  <r>
    <x v="25"/>
    <x v="3"/>
    <x v="2"/>
    <x v="2"/>
    <n v="290.47171480068101"/>
    <n v="10"/>
    <n v="25.644622127954001"/>
    <m/>
  </r>
  <r>
    <x v="22"/>
    <x v="0"/>
    <x v="0"/>
    <x v="1"/>
    <n v="788.901808323556"/>
    <n v="10"/>
    <n v="183.04818393732899"/>
    <m/>
  </r>
  <r>
    <x v="207"/>
    <x v="2"/>
    <x v="3"/>
    <x v="1"/>
    <n v="403.47367533009998"/>
    <n v="8"/>
    <n v="80.7200944052436"/>
    <m/>
  </r>
  <r>
    <x v="208"/>
    <x v="1"/>
    <x v="0"/>
    <x v="2"/>
    <n v="518.474936078881"/>
    <n v="1"/>
    <n v="120.707522446325"/>
    <m/>
  </r>
  <r>
    <x v="136"/>
    <x v="2"/>
    <x v="4"/>
    <x v="3"/>
    <n v="260.82359835906402"/>
    <n v="13"/>
    <n v="63.233200917534099"/>
    <m/>
  </r>
  <r>
    <x v="209"/>
    <x v="2"/>
    <x v="3"/>
    <x v="0"/>
    <n v="987.78299641783894"/>
    <n v="9"/>
    <n v="290.26259375305699"/>
    <m/>
  </r>
  <r>
    <x v="210"/>
    <x v="3"/>
    <x v="4"/>
    <x v="3"/>
    <n v="298.58078351448501"/>
    <n v="10"/>
    <n v="57.742782562102597"/>
    <m/>
  </r>
  <r>
    <x v="211"/>
    <x v="1"/>
    <x v="3"/>
    <x v="0"/>
    <n v="773.03510559649601"/>
    <n v="15"/>
    <n v="104.67689868604501"/>
    <m/>
  </r>
  <r>
    <x v="59"/>
    <x v="1"/>
    <x v="3"/>
    <x v="1"/>
    <n v="433.22069385319099"/>
    <n v="5"/>
    <n v="91.893101012540299"/>
    <m/>
  </r>
  <r>
    <x v="212"/>
    <x v="1"/>
    <x v="4"/>
    <x v="3"/>
    <n v="214.15523103329801"/>
    <n v="16"/>
    <n v="14.371995526649201"/>
    <m/>
  </r>
  <r>
    <x v="208"/>
    <x v="1"/>
    <x v="2"/>
    <x v="0"/>
    <n v="801.72157632521203"/>
    <n v="13"/>
    <n v="219.95177697496001"/>
    <m/>
  </r>
  <r>
    <x v="12"/>
    <x v="1"/>
    <x v="1"/>
    <x v="2"/>
    <n v="340.27072113875198"/>
    <n v="18"/>
    <n v="27.169001761518"/>
    <m/>
  </r>
  <r>
    <x v="213"/>
    <x v="3"/>
    <x v="0"/>
    <x v="1"/>
    <n v="866.54141392383201"/>
    <n v="11"/>
    <n v="114.349419767786"/>
    <m/>
  </r>
  <r>
    <x v="77"/>
    <x v="0"/>
    <x v="3"/>
    <x v="2"/>
    <n v="916.10461306864397"/>
    <n v="9"/>
    <n v="232.63225722368799"/>
    <m/>
  </r>
  <r>
    <x v="214"/>
    <x v="2"/>
    <x v="0"/>
    <x v="1"/>
    <n v="861.22559703736295"/>
    <n v="16"/>
    <n v="171.66645726328599"/>
    <m/>
  </r>
  <r>
    <x v="215"/>
    <x v="1"/>
    <x v="4"/>
    <x v="3"/>
    <n v="44.657835658737497"/>
    <n v="2"/>
    <n v="6.6276193764347999"/>
    <m/>
  </r>
  <r>
    <x v="216"/>
    <x v="0"/>
    <x v="0"/>
    <x v="3"/>
    <n v="789.499611555054"/>
    <n v="2"/>
    <n v="132.91929787097499"/>
    <m/>
  </r>
  <r>
    <x v="175"/>
    <x v="0"/>
    <x v="4"/>
    <x v="1"/>
    <n v="417.22607183415198"/>
    <n v="12"/>
    <n v="109.996166607172"/>
    <m/>
  </r>
  <r>
    <x v="217"/>
    <x v="2"/>
    <x v="0"/>
    <x v="1"/>
    <n v="874.98569098040196"/>
    <n v="8"/>
    <n v="118.12402771726499"/>
    <m/>
  </r>
  <r>
    <x v="218"/>
    <x v="3"/>
    <x v="1"/>
    <x v="1"/>
    <n v="641.574720057891"/>
    <n v="9"/>
    <n v="171.56504927334501"/>
    <m/>
  </r>
  <r>
    <x v="219"/>
    <x v="4"/>
    <x v="1"/>
    <x v="3"/>
    <n v="835.30670280251798"/>
    <n v="12"/>
    <n v="60.170155375755002"/>
    <m/>
  </r>
  <r>
    <x v="185"/>
    <x v="4"/>
    <x v="1"/>
    <x v="0"/>
    <n v="504.437452168167"/>
    <n v="9"/>
    <n v="123.183428736842"/>
    <m/>
  </r>
  <r>
    <x v="220"/>
    <x v="0"/>
    <x v="1"/>
    <x v="2"/>
    <n v="539.675249552943"/>
    <n v="10"/>
    <n v="141.333882571852"/>
    <m/>
  </r>
  <r>
    <x v="221"/>
    <x v="2"/>
    <x v="1"/>
    <x v="2"/>
    <n v="152.94375581233001"/>
    <n v="2"/>
    <n v="14.5991564650977"/>
    <m/>
  </r>
  <r>
    <x v="191"/>
    <x v="4"/>
    <x v="1"/>
    <x v="3"/>
    <n v="786.14748510246102"/>
    <n v="16"/>
    <n v="123.886335291865"/>
    <m/>
  </r>
  <r>
    <x v="173"/>
    <x v="0"/>
    <x v="4"/>
    <x v="2"/>
    <n v="425.19571555030097"/>
    <n v="7"/>
    <n v="38.852234555396699"/>
    <m/>
  </r>
  <r>
    <x v="30"/>
    <x v="3"/>
    <x v="3"/>
    <x v="1"/>
    <n v="505.07931708886599"/>
    <n v="2"/>
    <n v="114.47674858558599"/>
    <m/>
  </r>
  <r>
    <x v="157"/>
    <x v="4"/>
    <x v="0"/>
    <x v="0"/>
    <n v="787.24673695474996"/>
    <n v="1"/>
    <n v="144.72503273337401"/>
    <m/>
  </r>
  <r>
    <x v="222"/>
    <x v="0"/>
    <x v="1"/>
    <x v="2"/>
    <n v="602.856946078644"/>
    <n v="19"/>
    <n v="125.895120446192"/>
    <m/>
  </r>
  <r>
    <x v="223"/>
    <x v="0"/>
    <x v="4"/>
    <x v="0"/>
    <n v="209.08774016824"/>
    <n v="4"/>
    <n v="20.7251409817585"/>
    <m/>
  </r>
  <r>
    <x v="224"/>
    <x v="1"/>
    <x v="4"/>
    <x v="1"/>
    <n v="594.33033255938301"/>
    <n v="2"/>
    <n v="61.178263780891101"/>
    <m/>
  </r>
  <r>
    <x v="125"/>
    <x v="3"/>
    <x v="4"/>
    <x v="2"/>
    <n v="413.55652939985902"/>
    <n v="14"/>
    <n v="24.968198949306199"/>
    <m/>
  </r>
  <r>
    <x v="45"/>
    <x v="1"/>
    <x v="3"/>
    <x v="3"/>
    <n v="474.830286623424"/>
    <n v="2"/>
    <n v="61.973369343443203"/>
    <m/>
  </r>
  <r>
    <x v="225"/>
    <x v="2"/>
    <x v="0"/>
    <x v="0"/>
    <n v="38.028161658641103"/>
    <n v="15"/>
    <n v="7.2229232001216301"/>
    <m/>
  </r>
  <r>
    <x v="124"/>
    <x v="1"/>
    <x v="3"/>
    <x v="1"/>
    <n v="217.92905602111799"/>
    <n v="12"/>
    <n v="57.638689284805302"/>
    <m/>
  </r>
  <r>
    <x v="226"/>
    <x v="1"/>
    <x v="2"/>
    <x v="0"/>
    <n v="288.22770056721799"/>
    <n v="5"/>
    <n v="62.468126184905799"/>
    <m/>
  </r>
  <r>
    <x v="227"/>
    <x v="4"/>
    <x v="4"/>
    <x v="2"/>
    <n v="715.830407780217"/>
    <n v="7"/>
    <n v="113.70900232032299"/>
    <m/>
  </r>
  <r>
    <x v="228"/>
    <x v="0"/>
    <x v="2"/>
    <x v="2"/>
    <n v="21.377548565134099"/>
    <n v="10"/>
    <n v="6.1627203117234304"/>
    <m/>
  </r>
  <r>
    <x v="53"/>
    <x v="3"/>
    <x v="1"/>
    <x v="3"/>
    <n v="414.68948861683998"/>
    <n v="14"/>
    <n v="95.300330535069193"/>
    <m/>
  </r>
  <r>
    <x v="229"/>
    <x v="1"/>
    <x v="1"/>
    <x v="1"/>
    <n v="924.78660172147499"/>
    <n v="14"/>
    <n v="261.29040933477899"/>
    <m/>
  </r>
  <r>
    <x v="121"/>
    <x v="3"/>
    <x v="3"/>
    <x v="1"/>
    <n v="120.761810383632"/>
    <n v="5"/>
    <n v="21.966210216426202"/>
    <m/>
  </r>
  <r>
    <x v="52"/>
    <x v="1"/>
    <x v="0"/>
    <x v="3"/>
    <n v="521.26014433642399"/>
    <n v="18"/>
    <n v="59.802127128818498"/>
    <m/>
  </r>
  <r>
    <x v="230"/>
    <x v="2"/>
    <x v="2"/>
    <x v="3"/>
    <n v="788.65715856693805"/>
    <n v="14"/>
    <n v="49.848394019574002"/>
    <m/>
  </r>
  <r>
    <x v="231"/>
    <x v="1"/>
    <x v="0"/>
    <x v="1"/>
    <n v="943.10599444491504"/>
    <n v="2"/>
    <n v="218.34904369976201"/>
    <m/>
  </r>
  <r>
    <x v="215"/>
    <x v="4"/>
    <x v="3"/>
    <x v="0"/>
    <n v="749.30887313838002"/>
    <n v="12"/>
    <n v="60.188796842877501"/>
    <m/>
  </r>
  <r>
    <x v="8"/>
    <x v="0"/>
    <x v="1"/>
    <x v="0"/>
    <n v="723.35989315796201"/>
    <n v="6"/>
    <n v="90.921840767322706"/>
    <m/>
  </r>
  <r>
    <x v="216"/>
    <x v="2"/>
    <x v="0"/>
    <x v="3"/>
    <n v="828.22320929380396"/>
    <n v="4"/>
    <n v="151.66235151048701"/>
    <m/>
  </r>
  <r>
    <x v="34"/>
    <x v="1"/>
    <x v="0"/>
    <x v="0"/>
    <n v="451.73920876776799"/>
    <n v="13"/>
    <n v="86.329236133145102"/>
    <m/>
  </r>
  <r>
    <x v="186"/>
    <x v="3"/>
    <x v="1"/>
    <x v="1"/>
    <n v="807.78608729165398"/>
    <n v="4"/>
    <n v="161.67499206142"/>
    <m/>
  </r>
  <r>
    <x v="232"/>
    <x v="2"/>
    <x v="2"/>
    <x v="2"/>
    <n v="17.884760697996601"/>
    <n v="14"/>
    <n v="1.63759723441752"/>
    <m/>
  </r>
  <r>
    <x v="88"/>
    <x v="2"/>
    <x v="1"/>
    <x v="2"/>
    <n v="925.31544482303605"/>
    <n v="16"/>
    <n v="134.10999365577399"/>
    <m/>
  </r>
  <r>
    <x v="32"/>
    <x v="1"/>
    <x v="0"/>
    <x v="0"/>
    <n v="448.87344442200299"/>
    <n v="4"/>
    <n v="91.704196871942401"/>
    <m/>
  </r>
  <r>
    <x v="233"/>
    <x v="2"/>
    <x v="2"/>
    <x v="3"/>
    <n v="557.84638598709"/>
    <n v="1"/>
    <n v="163.14480647386901"/>
    <m/>
  </r>
  <r>
    <x v="15"/>
    <x v="3"/>
    <x v="2"/>
    <x v="3"/>
    <n v="262.33342642573302"/>
    <n v="13"/>
    <n v="60.837163702990097"/>
    <m/>
  </r>
  <r>
    <x v="23"/>
    <x v="2"/>
    <x v="1"/>
    <x v="3"/>
    <n v="745.10552451201704"/>
    <n v="4"/>
    <n v="209.11456531216299"/>
    <m/>
  </r>
  <r>
    <x v="212"/>
    <x v="3"/>
    <x v="0"/>
    <x v="3"/>
    <n v="85.869448410496304"/>
    <n v="18"/>
    <n v="20.6561546753416"/>
    <m/>
  </r>
  <r>
    <x v="216"/>
    <x v="1"/>
    <x v="3"/>
    <x v="3"/>
    <n v="873.90944452136603"/>
    <n v="6"/>
    <n v="172.97223412572399"/>
    <m/>
  </r>
  <r>
    <x v="234"/>
    <x v="0"/>
    <x v="0"/>
    <x v="0"/>
    <n v="829.83566071627899"/>
    <n v="3"/>
    <n v="81.32874288587"/>
    <m/>
  </r>
  <r>
    <x v="149"/>
    <x v="2"/>
    <x v="4"/>
    <x v="2"/>
    <n v="223.899515082318"/>
    <n v="13"/>
    <n v="48.512624296884198"/>
    <m/>
  </r>
  <r>
    <x v="30"/>
    <x v="0"/>
    <x v="3"/>
    <x v="2"/>
    <n v="811.23115430240898"/>
    <n v="16"/>
    <n v="166.98778893066799"/>
    <m/>
  </r>
  <r>
    <x v="168"/>
    <x v="3"/>
    <x v="2"/>
    <x v="0"/>
    <n v="788.49415573086605"/>
    <n v="5"/>
    <n v="158.185562764937"/>
    <m/>
  </r>
  <r>
    <x v="2"/>
    <x v="2"/>
    <x v="3"/>
    <x v="3"/>
    <n v="635.89443177640896"/>
    <n v="4"/>
    <n v="109.657748142944"/>
    <m/>
  </r>
  <r>
    <x v="59"/>
    <x v="4"/>
    <x v="2"/>
    <x v="0"/>
    <n v="379.78497513068999"/>
    <n v="8"/>
    <n v="69.183207556220097"/>
    <m/>
  </r>
  <r>
    <x v="107"/>
    <x v="0"/>
    <x v="2"/>
    <x v="2"/>
    <n v="278.78376664004901"/>
    <n v="19"/>
    <n v="37.248475190652897"/>
    <m/>
  </r>
  <r>
    <x v="53"/>
    <x v="2"/>
    <x v="3"/>
    <x v="1"/>
    <n v="239.46575438645601"/>
    <n v="14"/>
    <n v="43.062689145835598"/>
    <m/>
  </r>
  <r>
    <x v="50"/>
    <x v="0"/>
    <x v="2"/>
    <x v="0"/>
    <n v="325.42287313597097"/>
    <n v="7"/>
    <n v="32.343446264515798"/>
    <m/>
  </r>
  <r>
    <x v="179"/>
    <x v="2"/>
    <x v="2"/>
    <x v="3"/>
    <n v="904.52285899820504"/>
    <n v="14"/>
    <n v="227.300804923051"/>
    <m/>
  </r>
  <r>
    <x v="134"/>
    <x v="1"/>
    <x v="4"/>
    <x v="2"/>
    <n v="86.864368228893397"/>
    <n v="6"/>
    <n v="8.3775678617924196"/>
    <m/>
  </r>
  <r>
    <x v="109"/>
    <x v="0"/>
    <x v="0"/>
    <x v="2"/>
    <n v="830.58256349042904"/>
    <n v="12"/>
    <n v="59.172007891187398"/>
    <m/>
  </r>
  <r>
    <x v="0"/>
    <x v="4"/>
    <x v="0"/>
    <x v="2"/>
    <n v="355.40117429140503"/>
    <n v="16"/>
    <n v="56.5306462263935"/>
    <m/>
  </r>
  <r>
    <x v="235"/>
    <x v="4"/>
    <x v="4"/>
    <x v="2"/>
    <n v="526.38340205124405"/>
    <n v="17"/>
    <n v="112.949697503273"/>
    <m/>
  </r>
  <r>
    <x v="236"/>
    <x v="3"/>
    <x v="3"/>
    <x v="3"/>
    <n v="796.54077731200505"/>
    <n v="13"/>
    <n v="126.991863859376"/>
    <m/>
  </r>
  <r>
    <x v="196"/>
    <x v="2"/>
    <x v="1"/>
    <x v="1"/>
    <n v="885.53278155274097"/>
    <n v="14"/>
    <n v="105.545353145901"/>
    <m/>
  </r>
  <r>
    <x v="237"/>
    <x v="0"/>
    <x v="1"/>
    <x v="2"/>
    <n v="351.33360587191999"/>
    <n v="7"/>
    <n v="66.592753976102799"/>
    <m/>
  </r>
  <r>
    <x v="238"/>
    <x v="3"/>
    <x v="1"/>
    <x v="0"/>
    <n v="467.22504646235899"/>
    <n v="14"/>
    <n v="63.893297894496001"/>
    <m/>
  </r>
  <r>
    <x v="223"/>
    <x v="0"/>
    <x v="4"/>
    <x v="1"/>
    <n v="420.37090416862401"/>
    <n v="15"/>
    <n v="119.056153800488"/>
    <m/>
  </r>
  <r>
    <x v="239"/>
    <x v="2"/>
    <x v="4"/>
    <x v="2"/>
    <n v="23.118523168871398"/>
    <n v="12"/>
    <n v="6.4884744175865201"/>
    <m/>
  </r>
  <r>
    <x v="172"/>
    <x v="4"/>
    <x v="2"/>
    <x v="1"/>
    <n v="302.98345997006999"/>
    <n v="17"/>
    <n v="53.201761050155099"/>
    <m/>
  </r>
  <r>
    <x v="165"/>
    <x v="1"/>
    <x v="1"/>
    <x v="0"/>
    <n v="464.59734139523601"/>
    <n v="9"/>
    <n v="61.313375046495402"/>
    <m/>
  </r>
  <r>
    <x v="240"/>
    <x v="4"/>
    <x v="3"/>
    <x v="2"/>
    <n v="416.98267279163503"/>
    <n v="15"/>
    <n v="97.691994682829105"/>
    <m/>
  </r>
  <r>
    <x v="167"/>
    <x v="3"/>
    <x v="3"/>
    <x v="0"/>
    <n v="724.70993524052199"/>
    <n v="12"/>
    <n v="42.887055485551599"/>
    <m/>
  </r>
  <r>
    <x v="60"/>
    <x v="1"/>
    <x v="1"/>
    <x v="3"/>
    <n v="390.95558104889199"/>
    <n v="2"/>
    <n v="65.951177207894702"/>
    <m/>
  </r>
  <r>
    <x v="193"/>
    <x v="3"/>
    <x v="1"/>
    <x v="2"/>
    <n v="494.48268448096297"/>
    <n v="5"/>
    <n v="66.300657937184198"/>
    <m/>
  </r>
  <r>
    <x v="170"/>
    <x v="2"/>
    <x v="1"/>
    <x v="2"/>
    <n v="435.31250621103902"/>
    <n v="13"/>
    <n v="121.945821110849"/>
    <m/>
  </r>
  <r>
    <x v="241"/>
    <x v="1"/>
    <x v="4"/>
    <x v="2"/>
    <n v="743.21988740542599"/>
    <n v="8"/>
    <n v="39.391216514803098"/>
    <m/>
  </r>
  <r>
    <x v="183"/>
    <x v="3"/>
    <x v="4"/>
    <x v="2"/>
    <n v="864.34267499709199"/>
    <n v="14"/>
    <n v="162.67250586399999"/>
    <m/>
  </r>
  <r>
    <x v="242"/>
    <x v="2"/>
    <x v="4"/>
    <x v="3"/>
    <n v="536.57018821743895"/>
    <n v="15"/>
    <n v="126.183008685552"/>
    <m/>
  </r>
  <r>
    <x v="243"/>
    <x v="4"/>
    <x v="0"/>
    <x v="2"/>
    <n v="791.53787225323902"/>
    <n v="11"/>
    <n v="135.554420074993"/>
    <m/>
  </r>
  <r>
    <x v="52"/>
    <x v="2"/>
    <x v="3"/>
    <x v="1"/>
    <n v="303.81881519965202"/>
    <n v="1"/>
    <n v="21.6777026196071"/>
    <m/>
  </r>
  <r>
    <x v="212"/>
    <x v="0"/>
    <x v="3"/>
    <x v="2"/>
    <n v="545.95591405569598"/>
    <n v="3"/>
    <n v="160.02805747192301"/>
    <m/>
  </r>
  <r>
    <x v="49"/>
    <x v="2"/>
    <x v="2"/>
    <x v="3"/>
    <n v="351.77765413327199"/>
    <n v="17"/>
    <n v="63.145006298175701"/>
    <m/>
  </r>
  <r>
    <x v="244"/>
    <x v="2"/>
    <x v="4"/>
    <x v="2"/>
    <n v="420.058916316112"/>
    <n v="19"/>
    <n v="85.501547867032201"/>
    <m/>
  </r>
  <r>
    <x v="245"/>
    <x v="0"/>
    <x v="0"/>
    <x v="1"/>
    <n v="735.08972616454105"/>
    <n v="14"/>
    <n v="80.236841402805396"/>
    <m/>
  </r>
  <r>
    <x v="145"/>
    <x v="3"/>
    <x v="0"/>
    <x v="3"/>
    <n v="882.84585750938504"/>
    <n v="8"/>
    <n v="150.855863263034"/>
    <m/>
  </r>
  <r>
    <x v="246"/>
    <x v="3"/>
    <x v="3"/>
    <x v="3"/>
    <n v="130.28043717688701"/>
    <n v="13"/>
    <n v="20.491467715486699"/>
    <m/>
  </r>
  <r>
    <x v="217"/>
    <x v="2"/>
    <x v="4"/>
    <x v="1"/>
    <n v="638.29286392250594"/>
    <n v="3"/>
    <n v="43.866013567958703"/>
    <m/>
  </r>
  <r>
    <x v="86"/>
    <x v="0"/>
    <x v="2"/>
    <x v="1"/>
    <n v="586.32236950202002"/>
    <n v="5"/>
    <n v="44.877165984881799"/>
    <m/>
  </r>
  <r>
    <x v="212"/>
    <x v="0"/>
    <x v="4"/>
    <x v="1"/>
    <n v="127.230888784172"/>
    <n v="9"/>
    <n v="32.999637690062897"/>
    <m/>
  </r>
  <r>
    <x v="7"/>
    <x v="4"/>
    <x v="1"/>
    <x v="1"/>
    <n v="219.775387135708"/>
    <n v="6"/>
    <n v="24.165400066552898"/>
    <m/>
  </r>
  <r>
    <x v="247"/>
    <x v="3"/>
    <x v="4"/>
    <x v="1"/>
    <n v="317.892469785353"/>
    <n v="2"/>
    <n v="31.388565097213402"/>
    <m/>
  </r>
  <r>
    <x v="248"/>
    <x v="1"/>
    <x v="1"/>
    <x v="3"/>
    <n v="175.26176010932599"/>
    <n v="13"/>
    <n v="30.8860054168297"/>
    <m/>
  </r>
  <r>
    <x v="249"/>
    <x v="3"/>
    <x v="1"/>
    <x v="3"/>
    <n v="251.29218769909801"/>
    <n v="5"/>
    <n v="60.859646491827903"/>
    <m/>
  </r>
  <r>
    <x v="119"/>
    <x v="3"/>
    <x v="2"/>
    <x v="2"/>
    <n v="274.92479087308999"/>
    <n v="8"/>
    <n v="18.003897960065501"/>
    <m/>
  </r>
  <r>
    <x v="156"/>
    <x v="4"/>
    <x v="3"/>
    <x v="2"/>
    <n v="342.317094708669"/>
    <n v="1"/>
    <n v="66.478657549313198"/>
    <m/>
  </r>
  <r>
    <x v="250"/>
    <x v="1"/>
    <x v="4"/>
    <x v="0"/>
    <n v="751.896548273147"/>
    <n v="12"/>
    <n v="60.003307536142401"/>
    <m/>
  </r>
  <r>
    <x v="99"/>
    <x v="4"/>
    <x v="1"/>
    <x v="2"/>
    <n v="576.19308181209396"/>
    <n v="11"/>
    <n v="34.061805400934801"/>
    <m/>
  </r>
  <r>
    <x v="44"/>
    <x v="1"/>
    <x v="4"/>
    <x v="2"/>
    <n v="986.38420523188699"/>
    <n v="7"/>
    <n v="62.325660595173701"/>
    <m/>
  </r>
  <r>
    <x v="75"/>
    <x v="2"/>
    <x v="3"/>
    <x v="1"/>
    <n v="420.58846869779597"/>
    <n v="15"/>
    <n v="108.739374663402"/>
    <m/>
  </r>
  <r>
    <x v="251"/>
    <x v="1"/>
    <x v="3"/>
    <x v="1"/>
    <n v="756.32642309855498"/>
    <n v="11"/>
    <n v="60.122747796543898"/>
    <m/>
  </r>
  <r>
    <x v="5"/>
    <x v="4"/>
    <x v="0"/>
    <x v="2"/>
    <n v="872.75373716276795"/>
    <n v="16"/>
    <n v="53.489192365344799"/>
    <m/>
  </r>
  <r>
    <x v="20"/>
    <x v="3"/>
    <x v="3"/>
    <x v="0"/>
    <n v="682.188708107661"/>
    <n v="3"/>
    <n v="108.792024978011"/>
    <m/>
  </r>
  <r>
    <x v="252"/>
    <x v="1"/>
    <x v="2"/>
    <x v="1"/>
    <n v="417.746093013321"/>
    <n v="14"/>
    <n v="109.03104850879799"/>
    <m/>
  </r>
  <r>
    <x v="253"/>
    <x v="1"/>
    <x v="1"/>
    <x v="2"/>
    <n v="756.05868443829502"/>
    <n v="3"/>
    <n v="87.401967200437397"/>
    <m/>
  </r>
  <r>
    <x v="1"/>
    <x v="0"/>
    <x v="0"/>
    <x v="2"/>
    <n v="211.63046639495801"/>
    <n v="1"/>
    <n v="32.893332802659899"/>
    <m/>
  </r>
  <r>
    <x v="157"/>
    <x v="3"/>
    <x v="2"/>
    <x v="3"/>
    <n v="334.27664352833102"/>
    <n v="15"/>
    <n v="20.0501247230568"/>
    <m/>
  </r>
  <r>
    <x v="254"/>
    <x v="2"/>
    <x v="4"/>
    <x v="0"/>
    <n v="551.21840254829499"/>
    <n v="1"/>
    <n v="89.446005422461894"/>
    <m/>
  </r>
  <r>
    <x v="255"/>
    <x v="4"/>
    <x v="1"/>
    <x v="3"/>
    <n v="579.65529341328602"/>
    <n v="17"/>
    <n v="112.686884604681"/>
    <m/>
  </r>
  <r>
    <x v="165"/>
    <x v="2"/>
    <x v="3"/>
    <x v="0"/>
    <n v="31.920060717903102"/>
    <n v="2"/>
    <n v="6.1518499909070696"/>
    <m/>
  </r>
  <r>
    <x v="129"/>
    <x v="3"/>
    <x v="1"/>
    <x v="1"/>
    <n v="945.66304686844796"/>
    <n v="6"/>
    <n v="125.874061988924"/>
    <m/>
  </r>
  <r>
    <x v="256"/>
    <x v="1"/>
    <x v="4"/>
    <x v="0"/>
    <n v="699.66099850521596"/>
    <n v="8"/>
    <n v="90.174614986334802"/>
    <m/>
  </r>
  <r>
    <x v="257"/>
    <x v="1"/>
    <x v="0"/>
    <x v="2"/>
    <n v="500.74671272957198"/>
    <n v="16"/>
    <n v="38.385192306936503"/>
    <m/>
  </r>
  <r>
    <x v="153"/>
    <x v="3"/>
    <x v="0"/>
    <x v="2"/>
    <n v="933.79596206422502"/>
    <n v="19"/>
    <n v="132.31849578106701"/>
    <m/>
  </r>
  <r>
    <x v="252"/>
    <x v="1"/>
    <x v="0"/>
    <x v="0"/>
    <n v="444.70460959832002"/>
    <n v="1"/>
    <n v="33.296664949482398"/>
    <m/>
  </r>
  <r>
    <x v="238"/>
    <x v="1"/>
    <x v="3"/>
    <x v="0"/>
    <n v="980.63121456766805"/>
    <n v="3"/>
    <n v="236.96853881479001"/>
    <m/>
  </r>
  <r>
    <x v="258"/>
    <x v="1"/>
    <x v="2"/>
    <x v="0"/>
    <n v="517.16190967105001"/>
    <n v="3"/>
    <n v="150.788160755928"/>
    <m/>
  </r>
  <r>
    <x v="192"/>
    <x v="4"/>
    <x v="2"/>
    <x v="3"/>
    <n v="123.142912297999"/>
    <n v="5"/>
    <n v="36.021594049859402"/>
    <m/>
  </r>
  <r>
    <x v="259"/>
    <x v="4"/>
    <x v="1"/>
    <x v="0"/>
    <n v="767.15296273468402"/>
    <n v="12"/>
    <n v="204.26811235222999"/>
    <m/>
  </r>
  <r>
    <x v="64"/>
    <x v="0"/>
    <x v="3"/>
    <x v="1"/>
    <n v="682.10874782706196"/>
    <n v="12"/>
    <n v="136.55683256394701"/>
    <m/>
  </r>
  <r>
    <x v="260"/>
    <x v="2"/>
    <x v="0"/>
    <x v="3"/>
    <n v="775.25685409253094"/>
    <n v="13"/>
    <n v="174.60057660129101"/>
    <m/>
  </r>
  <r>
    <x v="173"/>
    <x v="3"/>
    <x v="0"/>
    <x v="3"/>
    <n v="951.92760843842404"/>
    <n v="9"/>
    <n v="115.470199836503"/>
    <m/>
  </r>
  <r>
    <x v="11"/>
    <x v="3"/>
    <x v="4"/>
    <x v="0"/>
    <n v="778.72440962450798"/>
    <n v="7"/>
    <n v="161.73530124560699"/>
    <m/>
  </r>
  <r>
    <x v="91"/>
    <x v="3"/>
    <x v="4"/>
    <x v="1"/>
    <n v="615.22323619448002"/>
    <n v="4"/>
    <n v="100.842709403963"/>
    <m/>
  </r>
  <r>
    <x v="180"/>
    <x v="0"/>
    <x v="0"/>
    <x v="3"/>
    <n v="858.735813337232"/>
    <n v="19"/>
    <n v="146.418178745859"/>
    <m/>
  </r>
  <r>
    <x v="120"/>
    <x v="4"/>
    <x v="0"/>
    <x v="2"/>
    <n v="676.51397496098605"/>
    <n v="19"/>
    <n v="161.98730699596399"/>
    <m/>
  </r>
  <r>
    <x v="261"/>
    <x v="0"/>
    <x v="3"/>
    <x v="3"/>
    <n v="414.03786625766298"/>
    <n v="6"/>
    <n v="49.883111915472"/>
    <m/>
  </r>
  <r>
    <x v="262"/>
    <x v="3"/>
    <x v="2"/>
    <x v="0"/>
    <n v="886.76356659935504"/>
    <n v="13"/>
    <n v="114.84466342649399"/>
    <m/>
  </r>
  <r>
    <x v="263"/>
    <x v="2"/>
    <x v="4"/>
    <x v="1"/>
    <n v="229.681456176529"/>
    <n v="11"/>
    <n v="64.5773410658513"/>
    <m/>
  </r>
  <r>
    <x v="264"/>
    <x v="1"/>
    <x v="2"/>
    <x v="0"/>
    <n v="717.494862159636"/>
    <n v="13"/>
    <n v="45.959903779012102"/>
    <m/>
  </r>
  <r>
    <x v="221"/>
    <x v="4"/>
    <x v="3"/>
    <x v="2"/>
    <n v="882.74782039134902"/>
    <n v="13"/>
    <n v="151.31054562748201"/>
    <m/>
  </r>
  <r>
    <x v="162"/>
    <x v="4"/>
    <x v="0"/>
    <x v="2"/>
    <n v="734.00335450626301"/>
    <n v="15"/>
    <n v="204.19988009915599"/>
    <m/>
  </r>
  <r>
    <x v="11"/>
    <x v="0"/>
    <x v="2"/>
    <x v="2"/>
    <n v="700.302664863318"/>
    <n v="13"/>
    <n v="141.87484347042701"/>
    <m/>
  </r>
  <r>
    <x v="249"/>
    <x v="4"/>
    <x v="0"/>
    <x v="0"/>
    <n v="755.11191113111704"/>
    <n v="11"/>
    <n v="140.90521807252699"/>
    <m/>
  </r>
  <r>
    <x v="149"/>
    <x v="3"/>
    <x v="0"/>
    <x v="3"/>
    <n v="470.40469581763699"/>
    <n v="19"/>
    <n v="52.890443456534499"/>
    <m/>
  </r>
  <r>
    <x v="211"/>
    <x v="3"/>
    <x v="1"/>
    <x v="0"/>
    <n v="875.42897533545499"/>
    <n v="8"/>
    <n v="118.899776179139"/>
    <m/>
  </r>
  <r>
    <x v="263"/>
    <x v="0"/>
    <x v="2"/>
    <x v="1"/>
    <n v="211.40211038473001"/>
    <n v="8"/>
    <n v="55.601313832005999"/>
    <m/>
  </r>
  <r>
    <x v="170"/>
    <x v="3"/>
    <x v="2"/>
    <x v="3"/>
    <n v="136.11255184033499"/>
    <n v="10"/>
    <n v="25.8347793296143"/>
    <m/>
  </r>
  <r>
    <x v="119"/>
    <x v="2"/>
    <x v="0"/>
    <x v="2"/>
    <n v="292.65369231732598"/>
    <n v="16"/>
    <n v="52.292985514476896"/>
    <m/>
  </r>
  <r>
    <x v="108"/>
    <x v="0"/>
    <x v="3"/>
    <x v="0"/>
    <n v="536.26162280724304"/>
    <n v="19"/>
    <n v="40.163275835776197"/>
    <m/>
  </r>
  <r>
    <x v="162"/>
    <x v="2"/>
    <x v="1"/>
    <x v="2"/>
    <n v="515.45617745524396"/>
    <n v="11"/>
    <n v="27.838261937265301"/>
    <m/>
  </r>
  <r>
    <x v="200"/>
    <x v="1"/>
    <x v="0"/>
    <x v="2"/>
    <n v="822.39277009982004"/>
    <n v="13"/>
    <n v="239.25157146211799"/>
    <m/>
  </r>
  <r>
    <x v="265"/>
    <x v="2"/>
    <x v="4"/>
    <x v="1"/>
    <n v="410.52296983997701"/>
    <n v="9"/>
    <n v="59.216518737794999"/>
    <m/>
  </r>
  <r>
    <x v="77"/>
    <x v="1"/>
    <x v="4"/>
    <x v="3"/>
    <n v="489.500982028593"/>
    <n v="19"/>
    <n v="98.293395668975194"/>
    <m/>
  </r>
  <r>
    <x v="266"/>
    <x v="1"/>
    <x v="1"/>
    <x v="1"/>
    <n v="23.234006426801599"/>
    <n v="16"/>
    <n v="1.6247254520266701"/>
    <m/>
  </r>
  <r>
    <x v="157"/>
    <x v="2"/>
    <x v="3"/>
    <x v="1"/>
    <n v="415.641844078509"/>
    <n v="7"/>
    <n v="91.764812562500694"/>
    <m/>
  </r>
  <r>
    <x v="17"/>
    <x v="0"/>
    <x v="0"/>
    <x v="1"/>
    <n v="651.29649062083797"/>
    <n v="19"/>
    <n v="184.40918069354601"/>
    <m/>
  </r>
  <r>
    <x v="126"/>
    <x v="3"/>
    <x v="2"/>
    <x v="2"/>
    <n v="25.353247320326201"/>
    <n v="12"/>
    <n v="4.91640824925675"/>
    <m/>
  </r>
  <r>
    <x v="51"/>
    <x v="3"/>
    <x v="1"/>
    <x v="1"/>
    <n v="288.07314553438101"/>
    <n v="15"/>
    <n v="23.486266680910798"/>
    <m/>
  </r>
  <r>
    <x v="13"/>
    <x v="1"/>
    <x v="3"/>
    <x v="1"/>
    <n v="215.876795696496"/>
    <n v="14"/>
    <n v="42.188884619486103"/>
    <m/>
  </r>
  <r>
    <x v="267"/>
    <x v="1"/>
    <x v="2"/>
    <x v="3"/>
    <n v="51.565574620492299"/>
    <n v="11"/>
    <n v="12.4575623316631"/>
    <m/>
  </r>
  <r>
    <x v="90"/>
    <x v="0"/>
    <x v="4"/>
    <x v="3"/>
    <n v="484.467489015392"/>
    <n v="10"/>
    <n v="73.447274192856298"/>
    <m/>
  </r>
  <r>
    <x v="98"/>
    <x v="4"/>
    <x v="4"/>
    <x v="1"/>
    <n v="189.906060295874"/>
    <n v="11"/>
    <n v="51.266933117583498"/>
    <m/>
  </r>
  <r>
    <x v="115"/>
    <x v="2"/>
    <x v="2"/>
    <x v="3"/>
    <n v="745.65072423506604"/>
    <n v="6"/>
    <n v="158.205264704218"/>
    <m/>
  </r>
  <r>
    <x v="107"/>
    <x v="1"/>
    <x v="1"/>
    <x v="3"/>
    <n v="849.44860492571502"/>
    <n v="2"/>
    <n v="233.438865026716"/>
    <m/>
  </r>
  <r>
    <x v="97"/>
    <x v="3"/>
    <x v="4"/>
    <x v="1"/>
    <n v="550.12933084245606"/>
    <n v="11"/>
    <n v="113.258606455426"/>
    <m/>
  </r>
  <r>
    <x v="208"/>
    <x v="0"/>
    <x v="0"/>
    <x v="2"/>
    <n v="981.89026909592997"/>
    <n v="19"/>
    <n v="81.322108995015398"/>
    <m/>
  </r>
  <r>
    <x v="83"/>
    <x v="2"/>
    <x v="2"/>
    <x v="1"/>
    <n v="455.97378575588903"/>
    <n v="6"/>
    <n v="58.101514770257502"/>
    <m/>
  </r>
  <r>
    <x v="268"/>
    <x v="0"/>
    <x v="2"/>
    <x v="3"/>
    <n v="518.23452812266601"/>
    <n v="14"/>
    <n v="52.056003852420702"/>
    <m/>
  </r>
  <r>
    <x v="269"/>
    <x v="2"/>
    <x v="4"/>
    <x v="2"/>
    <n v="989.32557641817198"/>
    <n v="6"/>
    <n v="274.247603500369"/>
    <m/>
  </r>
  <r>
    <x v="270"/>
    <x v="2"/>
    <x v="1"/>
    <x v="0"/>
    <n v="239.232951605398"/>
    <n v="17"/>
    <n v="57.439835704801901"/>
    <m/>
  </r>
  <r>
    <x v="65"/>
    <x v="1"/>
    <x v="0"/>
    <x v="2"/>
    <n v="943.12048028013601"/>
    <n v="10"/>
    <n v="206.637312650783"/>
    <m/>
  </r>
  <r>
    <x v="257"/>
    <x v="0"/>
    <x v="1"/>
    <x v="3"/>
    <n v="52.409179567922102"/>
    <n v="1"/>
    <n v="6.5638084507636796"/>
    <m/>
  </r>
  <r>
    <x v="271"/>
    <x v="0"/>
    <x v="3"/>
    <x v="2"/>
    <n v="451.92302136056202"/>
    <n v="3"/>
    <n v="43.389668430665203"/>
    <m/>
  </r>
  <r>
    <x v="206"/>
    <x v="3"/>
    <x v="3"/>
    <x v="1"/>
    <n v="79.303477011735097"/>
    <n v="8"/>
    <n v="18.9624742172944"/>
    <m/>
  </r>
  <r>
    <x v="204"/>
    <x v="3"/>
    <x v="4"/>
    <x v="0"/>
    <n v="731.94239548450605"/>
    <n v="8"/>
    <n v="123.361195460411"/>
    <m/>
  </r>
  <r>
    <x v="25"/>
    <x v="1"/>
    <x v="4"/>
    <x v="0"/>
    <n v="612.32484652121695"/>
    <n v="15"/>
    <n v="65.180380542742995"/>
    <m/>
  </r>
  <r>
    <x v="47"/>
    <x v="1"/>
    <x v="4"/>
    <x v="0"/>
    <n v="709.56792083291998"/>
    <n v="7"/>
    <n v="144.86218978829999"/>
    <m/>
  </r>
  <r>
    <x v="54"/>
    <x v="4"/>
    <x v="3"/>
    <x v="3"/>
    <n v="380.73559596833599"/>
    <n v="11"/>
    <n v="22.875913106324901"/>
    <m/>
  </r>
  <r>
    <x v="8"/>
    <x v="3"/>
    <x v="1"/>
    <x v="3"/>
    <n v="375.78711469106599"/>
    <n v="7"/>
    <n v="49.432000408780397"/>
    <m/>
  </r>
  <r>
    <x v="272"/>
    <x v="2"/>
    <x v="1"/>
    <x v="0"/>
    <n v="54.866086171285602"/>
    <n v="4"/>
    <n v="9.1702764189132395"/>
    <m/>
  </r>
  <r>
    <x v="273"/>
    <x v="0"/>
    <x v="4"/>
    <x v="2"/>
    <n v="356.445490134343"/>
    <n v="12"/>
    <n v="31.007044736989101"/>
    <m/>
  </r>
  <r>
    <x v="53"/>
    <x v="1"/>
    <x v="0"/>
    <x v="0"/>
    <n v="929.99551823943796"/>
    <n v="6"/>
    <n v="275.43083870544098"/>
    <m/>
  </r>
  <r>
    <x v="274"/>
    <x v="0"/>
    <x v="1"/>
    <x v="2"/>
    <n v="385.43427180864398"/>
    <n v="14"/>
    <n v="39.420036204858299"/>
    <m/>
  </r>
  <r>
    <x v="273"/>
    <x v="0"/>
    <x v="3"/>
    <x v="2"/>
    <n v="833.05402915975003"/>
    <n v="12"/>
    <n v="68.800501507019305"/>
    <m/>
  </r>
  <r>
    <x v="275"/>
    <x v="4"/>
    <x v="2"/>
    <x v="3"/>
    <n v="843.90224970243401"/>
    <n v="11"/>
    <n v="85.135996976634999"/>
    <m/>
  </r>
  <r>
    <x v="276"/>
    <x v="3"/>
    <x v="2"/>
    <x v="2"/>
    <n v="379.50874481544099"/>
    <n v="19"/>
    <n v="91.941793573719096"/>
    <m/>
  </r>
  <r>
    <x v="235"/>
    <x v="1"/>
    <x v="2"/>
    <x v="0"/>
    <n v="635.66879359222696"/>
    <n v="5"/>
    <n v="99.403606953610705"/>
    <m/>
  </r>
  <r>
    <x v="23"/>
    <x v="0"/>
    <x v="0"/>
    <x v="3"/>
    <n v="104.417886250328"/>
    <n v="14"/>
    <n v="19.980778632817099"/>
    <m/>
  </r>
  <r>
    <x v="214"/>
    <x v="1"/>
    <x v="4"/>
    <x v="1"/>
    <n v="112.641794926933"/>
    <n v="16"/>
    <n v="6.2237170345580299"/>
    <m/>
  </r>
  <r>
    <x v="184"/>
    <x v="2"/>
    <x v="3"/>
    <x v="1"/>
    <n v="58.171087025096099"/>
    <n v="13"/>
    <n v="3.40928101310636"/>
    <m/>
  </r>
  <r>
    <x v="78"/>
    <x v="4"/>
    <x v="0"/>
    <x v="3"/>
    <n v="585.20494244135796"/>
    <n v="4"/>
    <n v="94.485075928419405"/>
    <m/>
  </r>
  <r>
    <x v="21"/>
    <x v="2"/>
    <x v="3"/>
    <x v="0"/>
    <n v="431.81026784983601"/>
    <n v="11"/>
    <n v="109.750543219458"/>
    <m/>
  </r>
  <r>
    <x v="277"/>
    <x v="1"/>
    <x v="3"/>
    <x v="1"/>
    <n v="552.55203309759702"/>
    <n v="17"/>
    <n v="149.91273720660499"/>
    <m/>
  </r>
  <r>
    <x v="278"/>
    <x v="1"/>
    <x v="4"/>
    <x v="1"/>
    <n v="525.86245860330303"/>
    <n v="7"/>
    <n v="37.692055133389402"/>
    <m/>
  </r>
  <r>
    <x v="261"/>
    <x v="3"/>
    <x v="2"/>
    <x v="2"/>
    <n v="356.700961179822"/>
    <n v="14"/>
    <n v="65.8437070547876"/>
    <m/>
  </r>
  <r>
    <x v="20"/>
    <x v="0"/>
    <x v="4"/>
    <x v="2"/>
    <n v="680.69868067523805"/>
    <n v="11"/>
    <n v="189.44349468470199"/>
    <m/>
  </r>
  <r>
    <x v="106"/>
    <x v="0"/>
    <x v="0"/>
    <x v="0"/>
    <n v="760.91686210722605"/>
    <n v="9"/>
    <n v="111.849595820245"/>
    <m/>
  </r>
  <r>
    <x v="279"/>
    <x v="2"/>
    <x v="0"/>
    <x v="3"/>
    <n v="24.481976288898899"/>
    <n v="13"/>
    <n v="6.3014515682224603"/>
    <m/>
  </r>
  <r>
    <x v="103"/>
    <x v="4"/>
    <x v="0"/>
    <x v="0"/>
    <n v="215.169876771189"/>
    <n v="18"/>
    <n v="17.950313209051998"/>
    <m/>
  </r>
  <r>
    <x v="124"/>
    <x v="0"/>
    <x v="4"/>
    <x v="3"/>
    <n v="716.10350940250305"/>
    <n v="11"/>
    <n v="203.26499465184301"/>
    <m/>
  </r>
  <r>
    <x v="119"/>
    <x v="3"/>
    <x v="3"/>
    <x v="1"/>
    <n v="392.75397090749499"/>
    <n v="15"/>
    <n v="93.418821493600603"/>
    <m/>
  </r>
  <r>
    <x v="13"/>
    <x v="2"/>
    <x v="3"/>
    <x v="2"/>
    <n v="665.85910747219202"/>
    <n v="19"/>
    <n v="189.99197502710001"/>
    <m/>
  </r>
  <r>
    <x v="175"/>
    <x v="2"/>
    <x v="1"/>
    <x v="0"/>
    <n v="353.49303313721202"/>
    <n v="1"/>
    <n v="77.469521197207001"/>
    <m/>
  </r>
  <r>
    <x v="32"/>
    <x v="3"/>
    <x v="0"/>
    <x v="0"/>
    <n v="396.84760080633998"/>
    <n v="4"/>
    <n v="55.896374674707801"/>
    <m/>
  </r>
  <r>
    <x v="155"/>
    <x v="4"/>
    <x v="3"/>
    <x v="3"/>
    <n v="167.09208495278801"/>
    <n v="14"/>
    <n v="47.545266292791197"/>
    <m/>
  </r>
  <r>
    <x v="182"/>
    <x v="3"/>
    <x v="1"/>
    <x v="3"/>
    <n v="265.64870946949799"/>
    <n v="14"/>
    <n v="31.583425098275701"/>
    <m/>
  </r>
  <r>
    <x v="97"/>
    <x v="4"/>
    <x v="3"/>
    <x v="0"/>
    <n v="609.35763993251101"/>
    <n v="3"/>
    <n v="81.070848020117396"/>
    <m/>
  </r>
  <r>
    <x v="280"/>
    <x v="3"/>
    <x v="0"/>
    <x v="3"/>
    <n v="438.83148020201401"/>
    <n v="17"/>
    <n v="98.825772862534706"/>
    <m/>
  </r>
  <r>
    <x v="125"/>
    <x v="3"/>
    <x v="2"/>
    <x v="0"/>
    <n v="776.55965611514898"/>
    <n v="3"/>
    <n v="187.40642340044499"/>
    <m/>
  </r>
  <r>
    <x v="246"/>
    <x v="1"/>
    <x v="0"/>
    <x v="0"/>
    <n v="854.05910538895898"/>
    <n v="16"/>
    <n v="241.14433225984499"/>
    <m/>
  </r>
  <r>
    <x v="78"/>
    <x v="2"/>
    <x v="4"/>
    <x v="0"/>
    <n v="546.22995403459197"/>
    <n v="14"/>
    <n v="55.278800322966298"/>
    <m/>
  </r>
  <r>
    <x v="223"/>
    <x v="3"/>
    <x v="3"/>
    <x v="1"/>
    <n v="760.684619135498"/>
    <n v="13"/>
    <n v="189.79043882967699"/>
    <m/>
  </r>
  <r>
    <x v="281"/>
    <x v="3"/>
    <x v="3"/>
    <x v="3"/>
    <n v="313.83546806262399"/>
    <n v="15"/>
    <n v="73.6372599915412"/>
    <m/>
  </r>
  <r>
    <x v="135"/>
    <x v="0"/>
    <x v="4"/>
    <x v="2"/>
    <n v="420.82150324607699"/>
    <n v="14"/>
    <n v="27.7526054276927"/>
    <m/>
  </r>
  <r>
    <x v="219"/>
    <x v="2"/>
    <x v="4"/>
    <x v="2"/>
    <n v="715.64989945466198"/>
    <n v="19"/>
    <n v="105.061545491133"/>
    <m/>
  </r>
  <r>
    <x v="100"/>
    <x v="0"/>
    <x v="2"/>
    <x v="3"/>
    <n v="392.34987288885998"/>
    <n v="6"/>
    <n v="47.353241428165497"/>
    <m/>
  </r>
  <r>
    <x v="282"/>
    <x v="2"/>
    <x v="3"/>
    <x v="0"/>
    <n v="592.61988580739899"/>
    <n v="10"/>
    <n v="74.742764417902904"/>
    <m/>
  </r>
  <r>
    <x v="78"/>
    <x v="0"/>
    <x v="3"/>
    <x v="2"/>
    <n v="193.519051291686"/>
    <n v="15"/>
    <n v="57.230689464971597"/>
    <m/>
  </r>
  <r>
    <x v="216"/>
    <x v="3"/>
    <x v="2"/>
    <x v="2"/>
    <n v="603.77360182079303"/>
    <n v="6"/>
    <n v="127.21168861749599"/>
    <m/>
  </r>
  <r>
    <x v="127"/>
    <x v="3"/>
    <x v="1"/>
    <x v="3"/>
    <n v="862.89857015462405"/>
    <n v="10"/>
    <n v="197.96536110624999"/>
    <m/>
  </r>
  <r>
    <x v="283"/>
    <x v="1"/>
    <x v="2"/>
    <x v="2"/>
    <n v="869.95324342519098"/>
    <n v="7"/>
    <n v="255.90058246336901"/>
    <m/>
  </r>
  <r>
    <x v="279"/>
    <x v="0"/>
    <x v="0"/>
    <x v="0"/>
    <n v="727.10096226624398"/>
    <n v="17"/>
    <n v="104.92099286168499"/>
    <m/>
  </r>
  <r>
    <x v="11"/>
    <x v="4"/>
    <x v="3"/>
    <x v="3"/>
    <n v="748.29584528536395"/>
    <n v="18"/>
    <n v="187.418208923306"/>
    <m/>
  </r>
  <r>
    <x v="141"/>
    <x v="1"/>
    <x v="4"/>
    <x v="0"/>
    <n v="562.34817069919302"/>
    <n v="17"/>
    <n v="89.20683161657"/>
    <m/>
  </r>
  <r>
    <x v="254"/>
    <x v="0"/>
    <x v="0"/>
    <x v="2"/>
    <n v="588.82140926416605"/>
    <n v="9"/>
    <n v="157.44108097339301"/>
    <m/>
  </r>
  <r>
    <x v="48"/>
    <x v="0"/>
    <x v="3"/>
    <x v="2"/>
    <n v="142.31407559641201"/>
    <n v="10"/>
    <n v="13.543231527630301"/>
    <m/>
  </r>
  <r>
    <x v="130"/>
    <x v="1"/>
    <x v="2"/>
    <x v="0"/>
    <n v="449.42059653708799"/>
    <n v="10"/>
    <n v="128.94845158339899"/>
    <m/>
  </r>
  <r>
    <x v="55"/>
    <x v="3"/>
    <x v="0"/>
    <x v="1"/>
    <n v="456.26852104749997"/>
    <n v="7"/>
    <n v="47.768087013291698"/>
    <m/>
  </r>
  <r>
    <x v="211"/>
    <x v="0"/>
    <x v="3"/>
    <x v="2"/>
    <n v="958.912857311062"/>
    <n v="16"/>
    <n v="126.14990248119"/>
    <m/>
  </r>
  <r>
    <x v="118"/>
    <x v="3"/>
    <x v="1"/>
    <x v="1"/>
    <n v="436.77599399705599"/>
    <n v="18"/>
    <n v="104.410453376063"/>
    <m/>
  </r>
  <r>
    <x v="284"/>
    <x v="1"/>
    <x v="1"/>
    <x v="2"/>
    <n v="553.84921845373003"/>
    <n v="6"/>
    <n v="82.212705277221005"/>
    <m/>
  </r>
  <r>
    <x v="165"/>
    <x v="3"/>
    <x v="4"/>
    <x v="1"/>
    <n v="537.91888528631102"/>
    <n v="1"/>
    <n v="108.68804071648"/>
    <m/>
  </r>
  <r>
    <x v="252"/>
    <x v="2"/>
    <x v="3"/>
    <x v="1"/>
    <n v="640.39409987388296"/>
    <n v="1"/>
    <n v="103.19526675497799"/>
    <m/>
  </r>
  <r>
    <x v="103"/>
    <x v="4"/>
    <x v="1"/>
    <x v="1"/>
    <n v="750.75050301857698"/>
    <n v="12"/>
    <n v="176.871176074934"/>
    <m/>
  </r>
  <r>
    <x v="285"/>
    <x v="0"/>
    <x v="2"/>
    <x v="0"/>
    <n v="232.791457409163"/>
    <n v="2"/>
    <n v="24.927964123195199"/>
    <m/>
  </r>
  <r>
    <x v="50"/>
    <x v="4"/>
    <x v="3"/>
    <x v="1"/>
    <n v="533.43717490745098"/>
    <n v="4"/>
    <n v="34.467774635976397"/>
    <m/>
  </r>
  <r>
    <x v="175"/>
    <x v="3"/>
    <x v="2"/>
    <x v="1"/>
    <n v="827.65853024287003"/>
    <n v="17"/>
    <n v="103.44270758444"/>
    <m/>
  </r>
  <r>
    <x v="165"/>
    <x v="0"/>
    <x v="2"/>
    <x v="1"/>
    <n v="468.48356669913602"/>
    <n v="4"/>
    <n v="78.975632093423698"/>
    <m/>
  </r>
  <r>
    <x v="286"/>
    <x v="3"/>
    <x v="1"/>
    <x v="2"/>
    <n v="285.67297090983698"/>
    <n v="11"/>
    <n v="26.283345416068901"/>
    <m/>
  </r>
  <r>
    <x v="173"/>
    <x v="2"/>
    <x v="3"/>
    <x v="1"/>
    <n v="658.16198460273597"/>
    <n v="4"/>
    <n v="91.286621303116902"/>
    <m/>
  </r>
  <r>
    <x v="287"/>
    <x v="1"/>
    <x v="0"/>
    <x v="2"/>
    <n v="825.52972184113105"/>
    <n v="1"/>
    <n v="123.82595355032301"/>
    <m/>
  </r>
  <r>
    <x v="205"/>
    <x v="0"/>
    <x v="1"/>
    <x v="1"/>
    <n v="72.508889998117397"/>
    <n v="7"/>
    <n v="4.6657992201014098"/>
    <m/>
  </r>
  <r>
    <x v="114"/>
    <x v="2"/>
    <x v="1"/>
    <x v="1"/>
    <n v="779.02257857315396"/>
    <n v="18"/>
    <n v="152.55350807387501"/>
    <m/>
  </r>
  <r>
    <x v="232"/>
    <x v="2"/>
    <x v="3"/>
    <x v="0"/>
    <n v="823.43145363215297"/>
    <n v="9"/>
    <n v="223.22062128271699"/>
    <m/>
  </r>
  <r>
    <x v="211"/>
    <x v="0"/>
    <x v="3"/>
    <x v="2"/>
    <n v="466.90769831272002"/>
    <n v="3"/>
    <n v="41.057868471180299"/>
    <m/>
  </r>
  <r>
    <x v="7"/>
    <x v="3"/>
    <x v="2"/>
    <x v="1"/>
    <n v="983.47260025028197"/>
    <n v="8"/>
    <n v="196.15558036012399"/>
    <m/>
  </r>
  <r>
    <x v="288"/>
    <x v="2"/>
    <x v="3"/>
    <x v="2"/>
    <n v="788.84125730023595"/>
    <n v="19"/>
    <n v="170.53549040966899"/>
    <m/>
  </r>
  <r>
    <x v="90"/>
    <x v="4"/>
    <x v="2"/>
    <x v="2"/>
    <n v="775.92593924670905"/>
    <n v="4"/>
    <n v="120.13946090309901"/>
    <m/>
  </r>
  <r>
    <x v="8"/>
    <x v="2"/>
    <x v="1"/>
    <x v="3"/>
    <n v="750.36018866795098"/>
    <n v="18"/>
    <n v="169.036938915722"/>
    <m/>
  </r>
  <r>
    <x v="289"/>
    <x v="3"/>
    <x v="4"/>
    <x v="0"/>
    <n v="159.10202218609101"/>
    <n v="11"/>
    <n v="24.292155895563099"/>
    <m/>
  </r>
  <r>
    <x v="290"/>
    <x v="3"/>
    <x v="0"/>
    <x v="0"/>
    <n v="225.05857758848001"/>
    <n v="14"/>
    <n v="39.646166437001497"/>
    <m/>
  </r>
  <r>
    <x v="9"/>
    <x v="4"/>
    <x v="1"/>
    <x v="0"/>
    <n v="469.35023014977997"/>
    <n v="18"/>
    <n v="24.330299795969498"/>
    <m/>
  </r>
  <r>
    <x v="291"/>
    <x v="2"/>
    <x v="3"/>
    <x v="3"/>
    <n v="271.36430645987099"/>
    <n v="16"/>
    <n v="60.4952525821192"/>
    <m/>
  </r>
  <r>
    <x v="248"/>
    <x v="3"/>
    <x v="0"/>
    <x v="3"/>
    <n v="421.08856261070002"/>
    <n v="3"/>
    <n v="90.675387648020902"/>
    <m/>
  </r>
  <r>
    <x v="254"/>
    <x v="0"/>
    <x v="4"/>
    <x v="0"/>
    <n v="889.57946882369095"/>
    <n v="15"/>
    <n v="53.019131454767901"/>
    <m/>
  </r>
  <r>
    <x v="85"/>
    <x v="1"/>
    <x v="4"/>
    <x v="3"/>
    <n v="826.08362296047596"/>
    <n v="4"/>
    <n v="117.35552686616199"/>
    <m/>
  </r>
  <r>
    <x v="292"/>
    <x v="1"/>
    <x v="2"/>
    <x v="3"/>
    <n v="633.73947969518201"/>
    <n v="5"/>
    <n v="186.799756331841"/>
    <m/>
  </r>
  <r>
    <x v="25"/>
    <x v="1"/>
    <x v="0"/>
    <x v="3"/>
    <n v="859.53919030859197"/>
    <n v="17"/>
    <n v="133.386850596291"/>
    <m/>
  </r>
  <r>
    <x v="195"/>
    <x v="2"/>
    <x v="2"/>
    <x v="0"/>
    <n v="785.93466512707596"/>
    <n v="7"/>
    <n v="137.92080672994601"/>
    <m/>
  </r>
  <r>
    <x v="293"/>
    <x v="4"/>
    <x v="1"/>
    <x v="0"/>
    <n v="434.69508252248102"/>
    <n v="16"/>
    <n v="120.620295423857"/>
    <m/>
  </r>
  <r>
    <x v="213"/>
    <x v="3"/>
    <x v="0"/>
    <x v="0"/>
    <n v="209.05450052944499"/>
    <n v="14"/>
    <n v="47.939430828454498"/>
    <m/>
  </r>
  <r>
    <x v="294"/>
    <x v="0"/>
    <x v="1"/>
    <x v="3"/>
    <n v="519.05902960924504"/>
    <n v="16"/>
    <n v="101.485140836928"/>
    <m/>
  </r>
  <r>
    <x v="268"/>
    <x v="0"/>
    <x v="2"/>
    <x v="0"/>
    <n v="738.86659370326402"/>
    <n v="7"/>
    <n v="184.31113652091199"/>
    <m/>
  </r>
  <r>
    <x v="30"/>
    <x v="2"/>
    <x v="0"/>
    <x v="3"/>
    <n v="442.05540274229702"/>
    <n v="9"/>
    <n v="117.627214645877"/>
    <m/>
  </r>
  <r>
    <x v="112"/>
    <x v="1"/>
    <x v="2"/>
    <x v="1"/>
    <n v="670.10419068605802"/>
    <n v="4"/>
    <n v="110.045862420706"/>
    <m/>
  </r>
  <r>
    <x v="7"/>
    <x v="2"/>
    <x v="0"/>
    <x v="3"/>
    <n v="103.384152028133"/>
    <n v="11"/>
    <n v="17.448876458894301"/>
    <m/>
  </r>
  <r>
    <x v="187"/>
    <x v="4"/>
    <x v="2"/>
    <x v="2"/>
    <n v="750.52468900768895"/>
    <n v="2"/>
    <n v="109.96142405568899"/>
    <m/>
  </r>
  <r>
    <x v="109"/>
    <x v="4"/>
    <x v="4"/>
    <x v="0"/>
    <n v="814.58648369413095"/>
    <n v="12"/>
    <n v="237.59576302549701"/>
    <m/>
  </r>
  <r>
    <x v="123"/>
    <x v="3"/>
    <x v="2"/>
    <x v="0"/>
    <n v="709.76947722273496"/>
    <n v="12"/>
    <n v="159.195305822385"/>
    <m/>
  </r>
  <r>
    <x v="146"/>
    <x v="3"/>
    <x v="4"/>
    <x v="2"/>
    <n v="967.59095165110102"/>
    <n v="4"/>
    <n v="68.511019040452894"/>
    <m/>
  </r>
  <r>
    <x v="284"/>
    <x v="4"/>
    <x v="2"/>
    <x v="3"/>
    <n v="828.38553688603395"/>
    <n v="18"/>
    <n v="220.13509456158201"/>
    <m/>
  </r>
  <r>
    <x v="87"/>
    <x v="4"/>
    <x v="0"/>
    <x v="1"/>
    <n v="904.06279059777296"/>
    <n v="7"/>
    <n v="153.81722982037201"/>
    <m/>
  </r>
  <r>
    <x v="196"/>
    <x v="4"/>
    <x v="0"/>
    <x v="2"/>
    <n v="934.23537262307104"/>
    <n v="1"/>
    <n v="62.769851477629601"/>
    <m/>
  </r>
  <r>
    <x v="228"/>
    <x v="2"/>
    <x v="0"/>
    <x v="2"/>
    <n v="803.33451195506996"/>
    <n v="13"/>
    <n v="150.56843632022799"/>
    <m/>
  </r>
  <r>
    <x v="216"/>
    <x v="4"/>
    <x v="3"/>
    <x v="3"/>
    <n v="677.516253586434"/>
    <n v="6"/>
    <n v="104.534707534747"/>
    <m/>
  </r>
  <r>
    <x v="241"/>
    <x v="0"/>
    <x v="1"/>
    <x v="0"/>
    <n v="15.6613955471813"/>
    <n v="6"/>
    <n v="4.2197649325732201"/>
    <m/>
  </r>
  <r>
    <x v="84"/>
    <x v="1"/>
    <x v="0"/>
    <x v="3"/>
    <n v="471.16749569089302"/>
    <n v="12"/>
    <n v="47.5872814138175"/>
    <m/>
  </r>
  <r>
    <x v="78"/>
    <x v="4"/>
    <x v="4"/>
    <x v="2"/>
    <n v="575.45067563613702"/>
    <n v="8"/>
    <n v="147.669938262215"/>
    <m/>
  </r>
  <r>
    <x v="82"/>
    <x v="1"/>
    <x v="0"/>
    <x v="2"/>
    <n v="310.98996972351898"/>
    <n v="19"/>
    <n v="58.908395782904201"/>
    <m/>
  </r>
  <r>
    <x v="295"/>
    <x v="2"/>
    <x v="3"/>
    <x v="0"/>
    <n v="324.92340243443698"/>
    <n v="5"/>
    <n v="20.682211503746"/>
    <m/>
  </r>
  <r>
    <x v="296"/>
    <x v="1"/>
    <x v="4"/>
    <x v="0"/>
    <n v="961.54782155306305"/>
    <n v="18"/>
    <n v="281.69632417167799"/>
    <m/>
  </r>
  <r>
    <x v="297"/>
    <x v="2"/>
    <x v="3"/>
    <x v="0"/>
    <n v="892.79375655071794"/>
    <n v="5"/>
    <n v="159.05461018955"/>
    <m/>
  </r>
  <r>
    <x v="71"/>
    <x v="0"/>
    <x v="4"/>
    <x v="3"/>
    <n v="850.68721544668699"/>
    <n v="10"/>
    <n v="104.395666063373"/>
    <m/>
  </r>
  <r>
    <x v="243"/>
    <x v="2"/>
    <x v="2"/>
    <x v="0"/>
    <n v="411.95168368904899"/>
    <n v="1"/>
    <n v="68.940818907611003"/>
    <m/>
  </r>
  <r>
    <x v="35"/>
    <x v="2"/>
    <x v="1"/>
    <x v="2"/>
    <n v="23.561564904825399"/>
    <n v="10"/>
    <n v="6.2311962066055102"/>
    <m/>
  </r>
  <r>
    <x v="298"/>
    <x v="3"/>
    <x v="1"/>
    <x v="2"/>
    <n v="89.420023991156896"/>
    <n v="5"/>
    <n v="11.287112373930601"/>
    <m/>
  </r>
  <r>
    <x v="42"/>
    <x v="4"/>
    <x v="3"/>
    <x v="1"/>
    <n v="319.07440453542699"/>
    <n v="12"/>
    <n v="31.3232468460278"/>
    <m/>
  </r>
  <r>
    <x v="299"/>
    <x v="4"/>
    <x v="1"/>
    <x v="3"/>
    <n v="25.5854838657202"/>
    <n v="7"/>
    <n v="2.1048617697556198"/>
    <m/>
  </r>
  <r>
    <x v="67"/>
    <x v="0"/>
    <x v="3"/>
    <x v="1"/>
    <n v="26.978284096046099"/>
    <n v="9"/>
    <n v="3.3578480724144302"/>
    <m/>
  </r>
  <r>
    <x v="49"/>
    <x v="0"/>
    <x v="3"/>
    <x v="2"/>
    <n v="917.43726862598601"/>
    <n v="12"/>
    <n v="224.783160024035"/>
    <m/>
  </r>
  <r>
    <x v="283"/>
    <x v="4"/>
    <x v="3"/>
    <x v="1"/>
    <n v="709.09691709786296"/>
    <n v="1"/>
    <n v="119.0620462504"/>
    <m/>
  </r>
  <r>
    <x v="173"/>
    <x v="3"/>
    <x v="1"/>
    <x v="2"/>
    <n v="315.86643016747098"/>
    <n v="11"/>
    <n v="33.756772030236"/>
    <m/>
  </r>
  <r>
    <x v="156"/>
    <x v="4"/>
    <x v="3"/>
    <x v="1"/>
    <n v="141.31813182494301"/>
    <n v="15"/>
    <n v="12.937145011791801"/>
    <m/>
  </r>
  <r>
    <x v="226"/>
    <x v="3"/>
    <x v="1"/>
    <x v="0"/>
    <n v="516.51936071612602"/>
    <n v="2"/>
    <n v="68.791272160444393"/>
    <m/>
  </r>
  <r>
    <x v="294"/>
    <x v="0"/>
    <x v="3"/>
    <x v="1"/>
    <n v="15.292699245820801"/>
    <n v="7"/>
    <n v="4.3581301493805098"/>
    <m/>
  </r>
  <r>
    <x v="47"/>
    <x v="1"/>
    <x v="0"/>
    <x v="0"/>
    <n v="939.02960641956201"/>
    <n v="12"/>
    <n v="127.479540049679"/>
    <m/>
  </r>
  <r>
    <x v="153"/>
    <x v="0"/>
    <x v="3"/>
    <x v="0"/>
    <n v="420.666968195057"/>
    <n v="18"/>
    <n v="124.951138217847"/>
    <m/>
  </r>
  <r>
    <x v="156"/>
    <x v="0"/>
    <x v="4"/>
    <x v="3"/>
    <n v="408.31160568495898"/>
    <n v="3"/>
    <n v="69.946886914447205"/>
    <m/>
  </r>
  <r>
    <x v="212"/>
    <x v="2"/>
    <x v="3"/>
    <x v="0"/>
    <n v="396.68767150596398"/>
    <n v="7"/>
    <n v="37.602412966399399"/>
    <m/>
  </r>
  <r>
    <x v="169"/>
    <x v="2"/>
    <x v="2"/>
    <x v="0"/>
    <n v="78.635047083887102"/>
    <n v="11"/>
    <n v="21.450463123324798"/>
    <m/>
  </r>
  <r>
    <x v="199"/>
    <x v="2"/>
    <x v="3"/>
    <x v="1"/>
    <n v="641.93901739390799"/>
    <n v="18"/>
    <n v="105.97696984023899"/>
    <m/>
  </r>
  <r>
    <x v="281"/>
    <x v="2"/>
    <x v="4"/>
    <x v="2"/>
    <n v="735.67358343206899"/>
    <n v="12"/>
    <n v="167.305294255359"/>
    <m/>
  </r>
  <r>
    <x v="247"/>
    <x v="3"/>
    <x v="4"/>
    <x v="3"/>
    <n v="679.36414361240702"/>
    <n v="6"/>
    <n v="201.042801502743"/>
    <m/>
  </r>
  <r>
    <x v="137"/>
    <x v="4"/>
    <x v="1"/>
    <x v="0"/>
    <n v="147.05113839609999"/>
    <n v="5"/>
    <n v="9.1971425157988396"/>
    <m/>
  </r>
  <r>
    <x v="32"/>
    <x v="1"/>
    <x v="0"/>
    <x v="3"/>
    <n v="583.05176635523605"/>
    <n v="1"/>
    <n v="43.247071788032599"/>
    <m/>
  </r>
  <r>
    <x v="63"/>
    <x v="0"/>
    <x v="3"/>
    <x v="1"/>
    <n v="573.78963933053103"/>
    <n v="12"/>
    <n v="132.03713542581701"/>
    <m/>
  </r>
  <r>
    <x v="300"/>
    <x v="3"/>
    <x v="1"/>
    <x v="0"/>
    <n v="869.72668006196795"/>
    <n v="11"/>
    <n v="104.764015121754"/>
    <m/>
  </r>
  <r>
    <x v="245"/>
    <x v="1"/>
    <x v="0"/>
    <x v="1"/>
    <n v="385.33638179189001"/>
    <n v="4"/>
    <n v="37.021327454580003"/>
    <m/>
  </r>
  <r>
    <x v="133"/>
    <x v="3"/>
    <x v="3"/>
    <x v="3"/>
    <n v="377.77108422283902"/>
    <n v="18"/>
    <n v="22.605999215278999"/>
    <m/>
  </r>
  <r>
    <x v="212"/>
    <x v="3"/>
    <x v="2"/>
    <x v="1"/>
    <n v="622.341788131003"/>
    <n v="4"/>
    <n v="34.516119857119101"/>
    <m/>
  </r>
  <r>
    <x v="65"/>
    <x v="0"/>
    <x v="3"/>
    <x v="3"/>
    <n v="636.74192696451701"/>
    <n v="17"/>
    <n v="155.12396018241901"/>
    <m/>
  </r>
  <r>
    <x v="226"/>
    <x v="4"/>
    <x v="4"/>
    <x v="1"/>
    <n v="474.59237505253202"/>
    <n v="2"/>
    <n v="39.6798886480683"/>
    <m/>
  </r>
  <r>
    <x v="126"/>
    <x v="2"/>
    <x v="4"/>
    <x v="3"/>
    <n v="448.62876870711602"/>
    <n v="2"/>
    <n v="74.889669445873693"/>
    <m/>
  </r>
  <r>
    <x v="226"/>
    <x v="4"/>
    <x v="2"/>
    <x v="2"/>
    <n v="499.20619393150298"/>
    <n v="12"/>
    <n v="100.577170451817"/>
    <m/>
  </r>
  <r>
    <x v="199"/>
    <x v="0"/>
    <x v="1"/>
    <x v="1"/>
    <n v="862.43484650827804"/>
    <n v="6"/>
    <n v="135.478122169198"/>
    <m/>
  </r>
  <r>
    <x v="301"/>
    <x v="0"/>
    <x v="0"/>
    <x v="1"/>
    <n v="466.55523224136999"/>
    <n v="10"/>
    <n v="26.4894492310728"/>
    <m/>
  </r>
  <r>
    <x v="302"/>
    <x v="0"/>
    <x v="3"/>
    <x v="2"/>
    <n v="940.53247405012405"/>
    <n v="16"/>
    <n v="231.253775365255"/>
    <m/>
  </r>
  <r>
    <x v="303"/>
    <x v="1"/>
    <x v="4"/>
    <x v="2"/>
    <n v="508.96372596036201"/>
    <n v="14"/>
    <n v="26.785898781662599"/>
    <m/>
  </r>
  <r>
    <x v="73"/>
    <x v="4"/>
    <x v="1"/>
    <x v="1"/>
    <n v="949.70868624908201"/>
    <n v="7"/>
    <n v="228.378796976377"/>
    <m/>
  </r>
  <r>
    <x v="159"/>
    <x v="4"/>
    <x v="2"/>
    <x v="2"/>
    <n v="834.50358285038499"/>
    <n v="19"/>
    <n v="228.09162930315301"/>
    <m/>
  </r>
  <r>
    <x v="71"/>
    <x v="3"/>
    <x v="4"/>
    <x v="0"/>
    <n v="368.80700938966999"/>
    <n v="17"/>
    <n v="58.348949676872699"/>
    <m/>
  </r>
  <r>
    <x v="244"/>
    <x v="3"/>
    <x v="2"/>
    <x v="3"/>
    <n v="865.00500708364905"/>
    <n v="9"/>
    <n v="159.061980538071"/>
    <m/>
  </r>
  <r>
    <x v="278"/>
    <x v="3"/>
    <x v="3"/>
    <x v="3"/>
    <n v="118.962651359104"/>
    <n v="13"/>
    <n v="20.133934827969298"/>
    <m/>
  </r>
  <r>
    <x v="106"/>
    <x v="0"/>
    <x v="0"/>
    <x v="3"/>
    <n v="925.79670358958401"/>
    <n v="5"/>
    <n v="136.371849212038"/>
    <m/>
  </r>
  <r>
    <x v="170"/>
    <x v="4"/>
    <x v="4"/>
    <x v="0"/>
    <n v="635.32707993206202"/>
    <n v="5"/>
    <n v="172.717563675832"/>
    <m/>
  </r>
  <r>
    <x v="227"/>
    <x v="0"/>
    <x v="4"/>
    <x v="2"/>
    <n v="63.846841037087998"/>
    <n v="10"/>
    <n v="17.461049740222599"/>
    <m/>
  </r>
  <r>
    <x v="238"/>
    <x v="1"/>
    <x v="3"/>
    <x v="2"/>
    <n v="647.81415641430306"/>
    <n v="10"/>
    <n v="86.777356563308601"/>
    <m/>
  </r>
  <r>
    <x v="141"/>
    <x v="3"/>
    <x v="1"/>
    <x v="1"/>
    <n v="974.50517760330797"/>
    <n v="7"/>
    <n v="198.57242384879399"/>
    <m/>
  </r>
  <r>
    <x v="234"/>
    <x v="0"/>
    <x v="0"/>
    <x v="2"/>
    <n v="79.102648068482594"/>
    <n v="15"/>
    <n v="22.285343073534001"/>
    <m/>
  </r>
  <r>
    <x v="46"/>
    <x v="0"/>
    <x v="4"/>
    <x v="1"/>
    <n v="559.14083268228501"/>
    <n v="7"/>
    <n v="162.43858918089799"/>
    <m/>
  </r>
  <r>
    <x v="121"/>
    <x v="1"/>
    <x v="0"/>
    <x v="0"/>
    <n v="750.31640626177796"/>
    <n v="15"/>
    <n v="132.98589984906701"/>
    <m/>
  </r>
  <r>
    <x v="247"/>
    <x v="2"/>
    <x v="4"/>
    <x v="3"/>
    <n v="812.15600083253605"/>
    <n v="3"/>
    <n v="132.548895775999"/>
    <m/>
  </r>
  <r>
    <x v="59"/>
    <x v="4"/>
    <x v="0"/>
    <x v="3"/>
    <n v="419.68919066758701"/>
    <n v="19"/>
    <n v="50.225707507304399"/>
    <m/>
  </r>
  <r>
    <x v="142"/>
    <x v="2"/>
    <x v="2"/>
    <x v="3"/>
    <n v="212.12489357656"/>
    <n v="10"/>
    <n v="61.456393192346198"/>
    <m/>
  </r>
  <r>
    <x v="165"/>
    <x v="3"/>
    <x v="4"/>
    <x v="2"/>
    <n v="51.918855984659999"/>
    <n v="15"/>
    <n v="4.4496316258520396"/>
    <m/>
  </r>
  <r>
    <x v="271"/>
    <x v="0"/>
    <x v="0"/>
    <x v="1"/>
    <n v="583.92889552625195"/>
    <n v="3"/>
    <n v="113.84125576006301"/>
    <m/>
  </r>
  <r>
    <x v="269"/>
    <x v="1"/>
    <x v="1"/>
    <x v="1"/>
    <n v="458.38195956493399"/>
    <n v="6"/>
    <n v="55.298084303444199"/>
    <m/>
  </r>
  <r>
    <x v="155"/>
    <x v="1"/>
    <x v="2"/>
    <x v="0"/>
    <n v="949.25695119821296"/>
    <n v="12"/>
    <n v="113.67548732355399"/>
    <m/>
  </r>
  <r>
    <x v="251"/>
    <x v="4"/>
    <x v="2"/>
    <x v="2"/>
    <n v="69.998858637760605"/>
    <n v="15"/>
    <n v="10.5867776570079"/>
    <m/>
  </r>
  <r>
    <x v="304"/>
    <x v="2"/>
    <x v="1"/>
    <x v="0"/>
    <n v="688.54139001154499"/>
    <n v="6"/>
    <n v="206.35463859063299"/>
    <m/>
  </r>
  <r>
    <x v="305"/>
    <x v="4"/>
    <x v="0"/>
    <x v="1"/>
    <n v="34.716559898856602"/>
    <n v="13"/>
    <n v="2.2128882658987301"/>
    <m/>
  </r>
  <r>
    <x v="306"/>
    <x v="0"/>
    <x v="3"/>
    <x v="1"/>
    <n v="179.71983494343701"/>
    <n v="19"/>
    <n v="34.979851766025497"/>
    <m/>
  </r>
  <r>
    <x v="7"/>
    <x v="4"/>
    <x v="1"/>
    <x v="3"/>
    <n v="459.04320992360499"/>
    <n v="3"/>
    <n v="32.4282076148885"/>
    <m/>
  </r>
  <r>
    <x v="137"/>
    <x v="1"/>
    <x v="0"/>
    <x v="2"/>
    <n v="460.32371837483902"/>
    <n v="8"/>
    <n v="40.798586675642497"/>
    <m/>
  </r>
  <r>
    <x v="278"/>
    <x v="1"/>
    <x v="1"/>
    <x v="1"/>
    <n v="688.84353750430705"/>
    <n v="8"/>
    <n v="110.139699816876"/>
    <m/>
  </r>
  <r>
    <x v="273"/>
    <x v="3"/>
    <x v="1"/>
    <x v="3"/>
    <n v="911.11090451907899"/>
    <n v="15"/>
    <n v="161.82699322394899"/>
    <m/>
  </r>
  <r>
    <x v="87"/>
    <x v="3"/>
    <x v="4"/>
    <x v="2"/>
    <n v="642.64183732577101"/>
    <n v="4"/>
    <n v="73.709799065623301"/>
    <m/>
  </r>
  <r>
    <x v="232"/>
    <x v="0"/>
    <x v="0"/>
    <x v="0"/>
    <n v="953.999746872993"/>
    <n v="19"/>
    <n v="123.174993031236"/>
    <m/>
  </r>
  <r>
    <x v="45"/>
    <x v="2"/>
    <x v="3"/>
    <x v="2"/>
    <n v="882.79948347921697"/>
    <n v="3"/>
    <n v="63.3335843143769"/>
    <m/>
  </r>
  <r>
    <x v="267"/>
    <x v="4"/>
    <x v="4"/>
    <x v="2"/>
    <n v="588.65479757548201"/>
    <n v="13"/>
    <n v="74.055684998703796"/>
    <m/>
  </r>
  <r>
    <x v="94"/>
    <x v="0"/>
    <x v="1"/>
    <x v="1"/>
    <n v="835.45403140963901"/>
    <n v="8"/>
    <n v="243.651487763853"/>
    <m/>
  </r>
  <r>
    <x v="153"/>
    <x v="3"/>
    <x v="1"/>
    <x v="1"/>
    <n v="646.15183422039695"/>
    <n v="16"/>
    <n v="184.913693578325"/>
    <m/>
  </r>
  <r>
    <x v="261"/>
    <x v="4"/>
    <x v="1"/>
    <x v="2"/>
    <n v="87.772252614489801"/>
    <n v="13"/>
    <n v="11.7368680999774"/>
    <m/>
  </r>
  <r>
    <x v="79"/>
    <x v="3"/>
    <x v="0"/>
    <x v="1"/>
    <n v="743.15907602691402"/>
    <n v="3"/>
    <n v="143.216774759158"/>
    <m/>
  </r>
  <r>
    <x v="307"/>
    <x v="4"/>
    <x v="0"/>
    <x v="1"/>
    <n v="103.959356854672"/>
    <n v="16"/>
    <n v="28.838205807200701"/>
    <m/>
  </r>
  <r>
    <x v="20"/>
    <x v="2"/>
    <x v="4"/>
    <x v="1"/>
    <n v="598.14195276401495"/>
    <n v="9"/>
    <n v="30.831798575693799"/>
    <m/>
  </r>
  <r>
    <x v="241"/>
    <x v="0"/>
    <x v="3"/>
    <x v="3"/>
    <n v="705.61380379964601"/>
    <n v="14"/>
    <n v="178.28806962592799"/>
    <m/>
  </r>
  <r>
    <x v="95"/>
    <x v="4"/>
    <x v="4"/>
    <x v="3"/>
    <n v="75.862332128746601"/>
    <n v="13"/>
    <n v="21.7794981050533"/>
    <m/>
  </r>
  <r>
    <x v="308"/>
    <x v="1"/>
    <x v="2"/>
    <x v="2"/>
    <n v="238.48670738726599"/>
    <n v="7"/>
    <n v="17.3693287895968"/>
    <m/>
  </r>
  <r>
    <x v="153"/>
    <x v="1"/>
    <x v="1"/>
    <x v="1"/>
    <n v="916.515509939033"/>
    <n v="15"/>
    <n v="82.818102570186497"/>
    <m/>
  </r>
  <r>
    <x v="164"/>
    <x v="4"/>
    <x v="1"/>
    <x v="3"/>
    <n v="620.15134731056696"/>
    <n v="7"/>
    <n v="179.959595887353"/>
    <m/>
  </r>
  <r>
    <x v="202"/>
    <x v="4"/>
    <x v="1"/>
    <x v="2"/>
    <n v="253.82315862242601"/>
    <n v="6"/>
    <n v="46.801192217407603"/>
    <m/>
  </r>
  <r>
    <x v="54"/>
    <x v="4"/>
    <x v="4"/>
    <x v="1"/>
    <n v="693.77297343652594"/>
    <n v="2"/>
    <n v="37.150958999386098"/>
    <m/>
  </r>
  <r>
    <x v="25"/>
    <x v="1"/>
    <x v="4"/>
    <x v="0"/>
    <n v="600.80865576207202"/>
    <n v="9"/>
    <n v="68.737316502706605"/>
    <m/>
  </r>
  <r>
    <x v="309"/>
    <x v="1"/>
    <x v="1"/>
    <x v="1"/>
    <n v="506.559942918768"/>
    <n v="17"/>
    <n v="82.308857634512094"/>
    <m/>
  </r>
  <r>
    <x v="207"/>
    <x v="4"/>
    <x v="4"/>
    <x v="1"/>
    <n v="976.42510523820204"/>
    <n v="5"/>
    <n v="217.96466935387099"/>
    <m/>
  </r>
  <r>
    <x v="310"/>
    <x v="3"/>
    <x v="0"/>
    <x v="3"/>
    <n v="686.61923963343304"/>
    <n v="12"/>
    <n v="160.18146732308401"/>
    <m/>
  </r>
  <r>
    <x v="301"/>
    <x v="3"/>
    <x v="0"/>
    <x v="2"/>
    <n v="381.68669857123302"/>
    <n v="1"/>
    <n v="114.069122667386"/>
    <m/>
  </r>
  <r>
    <x v="264"/>
    <x v="2"/>
    <x v="4"/>
    <x v="2"/>
    <n v="802.07269775609905"/>
    <n v="10"/>
    <n v="97.754855719010806"/>
    <m/>
  </r>
  <r>
    <x v="300"/>
    <x v="0"/>
    <x v="1"/>
    <x v="3"/>
    <n v="885.73745999197502"/>
    <n v="11"/>
    <n v="163.467299486"/>
    <m/>
  </r>
  <r>
    <x v="135"/>
    <x v="3"/>
    <x v="4"/>
    <x v="1"/>
    <n v="133.96835392166301"/>
    <n v="16"/>
    <n v="24.560537149686301"/>
    <m/>
  </r>
  <r>
    <x v="47"/>
    <x v="1"/>
    <x v="4"/>
    <x v="0"/>
    <n v="208.54744806681299"/>
    <n v="14"/>
    <n v="31.5764433228711"/>
    <m/>
  </r>
  <r>
    <x v="311"/>
    <x v="3"/>
    <x v="4"/>
    <x v="1"/>
    <n v="224.06473903650101"/>
    <n v="8"/>
    <n v="20.679040851505601"/>
    <m/>
  </r>
  <r>
    <x v="196"/>
    <x v="2"/>
    <x v="2"/>
    <x v="1"/>
    <n v="694.29969129267499"/>
    <n v="17"/>
    <n v="204.37693208226801"/>
    <m/>
  </r>
  <r>
    <x v="109"/>
    <x v="2"/>
    <x v="0"/>
    <x v="0"/>
    <n v="607.00915950274998"/>
    <n v="18"/>
    <n v="159.84329504207099"/>
    <m/>
  </r>
  <r>
    <x v="312"/>
    <x v="0"/>
    <x v="3"/>
    <x v="3"/>
    <n v="622.801649051602"/>
    <n v="12"/>
    <n v="108.73074040221201"/>
    <m/>
  </r>
  <r>
    <x v="91"/>
    <x v="3"/>
    <x v="3"/>
    <x v="2"/>
    <n v="941.36556669260597"/>
    <n v="17"/>
    <n v="189.03689562954801"/>
    <m/>
  </r>
  <r>
    <x v="83"/>
    <x v="1"/>
    <x v="2"/>
    <x v="3"/>
    <n v="778.15241747923199"/>
    <n v="14"/>
    <n v="83.118555430543793"/>
    <m/>
  </r>
  <r>
    <x v="291"/>
    <x v="1"/>
    <x v="4"/>
    <x v="3"/>
    <n v="136.65755526666501"/>
    <n v="16"/>
    <n v="25.411030669672801"/>
    <m/>
  </r>
  <r>
    <x v="155"/>
    <x v="4"/>
    <x v="2"/>
    <x v="1"/>
    <n v="354.03201160092902"/>
    <n v="14"/>
    <n v="79.212019137936807"/>
    <m/>
  </r>
  <r>
    <x v="248"/>
    <x v="1"/>
    <x v="2"/>
    <x v="2"/>
    <n v="441.03970971397803"/>
    <n v="9"/>
    <n v="78.854264649157301"/>
    <m/>
  </r>
  <r>
    <x v="279"/>
    <x v="0"/>
    <x v="1"/>
    <x v="2"/>
    <n v="402.00197286012798"/>
    <n v="4"/>
    <n v="119.624246710325"/>
    <m/>
  </r>
  <r>
    <x v="174"/>
    <x v="0"/>
    <x v="0"/>
    <x v="3"/>
    <n v="672.61552307026"/>
    <n v="11"/>
    <n v="136.43024812643799"/>
    <m/>
  </r>
  <r>
    <x v="260"/>
    <x v="1"/>
    <x v="3"/>
    <x v="0"/>
    <n v="892.97417222399599"/>
    <n v="6"/>
    <n v="127.46619459091301"/>
    <m/>
  </r>
  <r>
    <x v="313"/>
    <x v="1"/>
    <x v="4"/>
    <x v="3"/>
    <n v="312.99094888756002"/>
    <n v="15"/>
    <n v="76.0686963966116"/>
    <m/>
  </r>
  <r>
    <x v="88"/>
    <x v="4"/>
    <x v="3"/>
    <x v="0"/>
    <n v="556.35836505697296"/>
    <n v="5"/>
    <n v="51.527479314615597"/>
    <m/>
  </r>
  <r>
    <x v="78"/>
    <x v="1"/>
    <x v="3"/>
    <x v="2"/>
    <n v="791.51532769444896"/>
    <n v="11"/>
    <n v="115.663306457075"/>
    <m/>
  </r>
  <r>
    <x v="216"/>
    <x v="4"/>
    <x v="0"/>
    <x v="3"/>
    <n v="422.05587825689503"/>
    <n v="18"/>
    <n v="57.7118100430204"/>
    <m/>
  </r>
  <r>
    <x v="148"/>
    <x v="4"/>
    <x v="3"/>
    <x v="1"/>
    <n v="176.43694711530199"/>
    <n v="13"/>
    <n v="27.868528756650999"/>
    <m/>
  </r>
  <r>
    <x v="112"/>
    <x v="1"/>
    <x v="3"/>
    <x v="3"/>
    <n v="480.20145561111002"/>
    <n v="11"/>
    <n v="117.86302537514899"/>
    <m/>
  </r>
  <r>
    <x v="279"/>
    <x v="2"/>
    <x v="2"/>
    <x v="2"/>
    <n v="64.6702955355981"/>
    <n v="14"/>
    <n v="11.061418046873399"/>
    <m/>
  </r>
  <r>
    <x v="163"/>
    <x v="2"/>
    <x v="0"/>
    <x v="1"/>
    <n v="942.95961946225395"/>
    <n v="18"/>
    <n v="234.32887194069301"/>
    <m/>
  </r>
  <r>
    <x v="276"/>
    <x v="4"/>
    <x v="1"/>
    <x v="1"/>
    <n v="84.072993143023297"/>
    <n v="19"/>
    <n v="16.320436557327898"/>
    <m/>
  </r>
  <r>
    <x v="103"/>
    <x v="1"/>
    <x v="4"/>
    <x v="0"/>
    <n v="444.07214809807198"/>
    <n v="15"/>
    <n v="60.179484566672002"/>
    <m/>
  </r>
  <r>
    <x v="239"/>
    <x v="2"/>
    <x v="3"/>
    <x v="1"/>
    <n v="534.58244847764001"/>
    <n v="9"/>
    <n v="134.97922742717"/>
    <m/>
  </r>
  <r>
    <x v="203"/>
    <x v="1"/>
    <x v="4"/>
    <x v="1"/>
    <n v="985.45079396441201"/>
    <n v="8"/>
    <n v="107.978225958236"/>
    <m/>
  </r>
  <r>
    <x v="310"/>
    <x v="1"/>
    <x v="1"/>
    <x v="3"/>
    <n v="174.36160540643201"/>
    <n v="1"/>
    <n v="18.499024416264401"/>
    <m/>
  </r>
  <r>
    <x v="69"/>
    <x v="1"/>
    <x v="4"/>
    <x v="2"/>
    <n v="123.287203426234"/>
    <n v="4"/>
    <n v="21.714048828081399"/>
    <m/>
  </r>
  <r>
    <x v="288"/>
    <x v="3"/>
    <x v="1"/>
    <x v="0"/>
    <n v="18.6190855919181"/>
    <n v="14"/>
    <n v="2.1451478888847602"/>
    <m/>
  </r>
  <r>
    <x v="304"/>
    <x v="1"/>
    <x v="2"/>
    <x v="3"/>
    <n v="164.015722500609"/>
    <n v="2"/>
    <n v="8.5733902757584701"/>
    <m/>
  </r>
  <r>
    <x v="142"/>
    <x v="3"/>
    <x v="3"/>
    <x v="1"/>
    <n v="215.20024927699001"/>
    <n v="16"/>
    <n v="45.638459833939201"/>
    <m/>
  </r>
  <r>
    <x v="262"/>
    <x v="4"/>
    <x v="1"/>
    <x v="1"/>
    <n v="634.27513216726095"/>
    <n v="3"/>
    <n v="112.757281899432"/>
    <m/>
  </r>
  <r>
    <x v="50"/>
    <x v="2"/>
    <x v="4"/>
    <x v="0"/>
    <n v="227.50972248748599"/>
    <n v="8"/>
    <n v="36.715394709016898"/>
    <m/>
  </r>
  <r>
    <x v="146"/>
    <x v="2"/>
    <x v="3"/>
    <x v="2"/>
    <n v="30.315606582031901"/>
    <n v="6"/>
    <n v="8.8443395956967592"/>
    <m/>
  </r>
  <r>
    <x v="67"/>
    <x v="2"/>
    <x v="2"/>
    <x v="0"/>
    <n v="828.35216204746303"/>
    <n v="16"/>
    <n v="159.70612785122901"/>
    <m/>
  </r>
  <r>
    <x v="314"/>
    <x v="2"/>
    <x v="3"/>
    <x v="3"/>
    <n v="371.93974399392698"/>
    <n v="16"/>
    <n v="98.883117199510394"/>
    <m/>
  </r>
  <r>
    <x v="241"/>
    <x v="2"/>
    <x v="1"/>
    <x v="0"/>
    <n v="360.15971971492598"/>
    <n v="7"/>
    <n v="30.564075482204"/>
    <m/>
  </r>
  <r>
    <x v="315"/>
    <x v="2"/>
    <x v="2"/>
    <x v="1"/>
    <n v="309.45423887624702"/>
    <n v="13"/>
    <n v="59.508550146601799"/>
    <m/>
  </r>
  <r>
    <x v="316"/>
    <x v="2"/>
    <x v="4"/>
    <x v="3"/>
    <n v="975.61954437495604"/>
    <n v="13"/>
    <n v="260.485449208234"/>
    <m/>
  </r>
  <r>
    <x v="247"/>
    <x v="4"/>
    <x v="2"/>
    <x v="1"/>
    <n v="178.414263136188"/>
    <n v="5"/>
    <n v="34.929309160700001"/>
    <m/>
  </r>
  <r>
    <x v="34"/>
    <x v="1"/>
    <x v="2"/>
    <x v="2"/>
    <n v="899.25568331370198"/>
    <n v="18"/>
    <n v="206.38236676081499"/>
    <m/>
  </r>
  <r>
    <x v="226"/>
    <x v="0"/>
    <x v="0"/>
    <x v="1"/>
    <n v="779.03529881848897"/>
    <n v="15"/>
    <n v="111.410532946944"/>
    <m/>
  </r>
  <r>
    <x v="317"/>
    <x v="3"/>
    <x v="2"/>
    <x v="1"/>
    <n v="85.715155944319903"/>
    <n v="18"/>
    <n v="6.2668389896683001"/>
    <m/>
  </r>
  <r>
    <x v="61"/>
    <x v="0"/>
    <x v="2"/>
    <x v="0"/>
    <n v="986.86181048584001"/>
    <n v="2"/>
    <n v="162.314169092067"/>
    <m/>
  </r>
  <r>
    <x v="215"/>
    <x v="0"/>
    <x v="3"/>
    <x v="1"/>
    <n v="278.65230390362001"/>
    <n v="10"/>
    <n v="41.413262970117103"/>
    <m/>
  </r>
  <r>
    <x v="318"/>
    <x v="1"/>
    <x v="4"/>
    <x v="3"/>
    <n v="107.59709775218801"/>
    <n v="13"/>
    <n v="28.7031446877238"/>
    <m/>
  </r>
  <r>
    <x v="137"/>
    <x v="1"/>
    <x v="3"/>
    <x v="3"/>
    <n v="831.02109178450098"/>
    <n v="18"/>
    <n v="92.242365227035293"/>
    <m/>
  </r>
  <r>
    <x v="206"/>
    <x v="1"/>
    <x v="3"/>
    <x v="2"/>
    <n v="709.60877834092196"/>
    <n v="15"/>
    <n v="206.98121246243201"/>
    <m/>
  </r>
  <r>
    <x v="4"/>
    <x v="2"/>
    <x v="1"/>
    <x v="3"/>
    <n v="621.04661781912102"/>
    <n v="12"/>
    <n v="179.81444056799401"/>
    <m/>
  </r>
  <r>
    <x v="173"/>
    <x v="4"/>
    <x v="3"/>
    <x v="0"/>
    <n v="164.42105506194301"/>
    <n v="15"/>
    <n v="18.400016758229299"/>
    <m/>
  </r>
  <r>
    <x v="255"/>
    <x v="2"/>
    <x v="0"/>
    <x v="2"/>
    <n v="483.711155093402"/>
    <n v="13"/>
    <n v="66.274711108783094"/>
    <m/>
  </r>
  <r>
    <x v="263"/>
    <x v="4"/>
    <x v="0"/>
    <x v="3"/>
    <n v="782.75046661834097"/>
    <n v="18"/>
    <n v="214.38669184385901"/>
    <m/>
  </r>
  <r>
    <x v="66"/>
    <x v="4"/>
    <x v="1"/>
    <x v="0"/>
    <n v="310.58769876240098"/>
    <n v="15"/>
    <n v="90.584627728301101"/>
    <m/>
  </r>
  <r>
    <x v="250"/>
    <x v="0"/>
    <x v="4"/>
    <x v="3"/>
    <n v="318.57293022989103"/>
    <n v="11"/>
    <n v="51.245570103742601"/>
    <m/>
  </r>
  <r>
    <x v="142"/>
    <x v="0"/>
    <x v="4"/>
    <x v="3"/>
    <n v="13.109496987640799"/>
    <n v="19"/>
    <n v="1.70750230009978"/>
    <m/>
  </r>
  <r>
    <x v="224"/>
    <x v="4"/>
    <x v="3"/>
    <x v="1"/>
    <n v="182.500967628925"/>
    <n v="3"/>
    <n v="33.1282150019941"/>
    <m/>
  </r>
  <r>
    <x v="97"/>
    <x v="4"/>
    <x v="3"/>
    <x v="3"/>
    <n v="876.65156887061596"/>
    <n v="7"/>
    <n v="194.56606688888499"/>
    <m/>
  </r>
  <r>
    <x v="59"/>
    <x v="2"/>
    <x v="3"/>
    <x v="3"/>
    <n v="447.32902672133002"/>
    <n v="14"/>
    <n v="52.949723535010698"/>
    <m/>
  </r>
  <r>
    <x v="26"/>
    <x v="2"/>
    <x v="4"/>
    <x v="0"/>
    <n v="984.39215424208896"/>
    <n v="14"/>
    <n v="230.464211438299"/>
    <m/>
  </r>
  <r>
    <x v="120"/>
    <x v="0"/>
    <x v="2"/>
    <x v="0"/>
    <n v="401.75088393805402"/>
    <n v="13"/>
    <n v="25.2758914175804"/>
    <m/>
  </r>
  <r>
    <x v="311"/>
    <x v="1"/>
    <x v="0"/>
    <x v="1"/>
    <n v="718.03459023243795"/>
    <n v="12"/>
    <n v="44.750517239825299"/>
    <m/>
  </r>
  <r>
    <x v="225"/>
    <x v="4"/>
    <x v="2"/>
    <x v="3"/>
    <n v="289.09985247568102"/>
    <n v="9"/>
    <n v="42.3739222664707"/>
    <m/>
  </r>
  <r>
    <x v="178"/>
    <x v="2"/>
    <x v="2"/>
    <x v="1"/>
    <n v="370.17154472952399"/>
    <n v="1"/>
    <n v="51.220006617874297"/>
    <m/>
  </r>
  <r>
    <x v="110"/>
    <x v="0"/>
    <x v="4"/>
    <x v="3"/>
    <n v="198.81872771498499"/>
    <n v="19"/>
    <n v="25.629384961721101"/>
    <m/>
  </r>
  <r>
    <x v="301"/>
    <x v="2"/>
    <x v="2"/>
    <x v="2"/>
    <n v="353.59174481440101"/>
    <n v="11"/>
    <n v="61.0847208958333"/>
    <m/>
  </r>
  <r>
    <x v="113"/>
    <x v="4"/>
    <x v="1"/>
    <x v="2"/>
    <n v="551.76514521643605"/>
    <n v="19"/>
    <n v="71.830660165804801"/>
    <m/>
  </r>
  <r>
    <x v="244"/>
    <x v="4"/>
    <x v="3"/>
    <x v="1"/>
    <n v="991.85515216945601"/>
    <n v="18"/>
    <n v="97.265759352960899"/>
    <m/>
  </r>
  <r>
    <x v="260"/>
    <x v="3"/>
    <x v="1"/>
    <x v="1"/>
    <n v="667.55969594106705"/>
    <n v="12"/>
    <n v="85.025334320204806"/>
    <m/>
  </r>
  <r>
    <x v="131"/>
    <x v="1"/>
    <x v="0"/>
    <x v="1"/>
    <n v="207.25349486422999"/>
    <n v="1"/>
    <n v="60.875754167709701"/>
    <m/>
  </r>
  <r>
    <x v="184"/>
    <x v="3"/>
    <x v="3"/>
    <x v="0"/>
    <n v="54.511827175635602"/>
    <n v="19"/>
    <n v="8.3282272429838304"/>
    <m/>
  </r>
  <r>
    <x v="0"/>
    <x v="0"/>
    <x v="2"/>
    <x v="0"/>
    <n v="135.09291650136501"/>
    <n v="17"/>
    <n v="21.774032332871599"/>
    <m/>
  </r>
  <r>
    <x v="20"/>
    <x v="2"/>
    <x v="0"/>
    <x v="0"/>
    <n v="566.92964926031595"/>
    <n v="5"/>
    <n v="110.06159469696399"/>
    <m/>
  </r>
  <r>
    <x v="71"/>
    <x v="0"/>
    <x v="3"/>
    <x v="1"/>
    <n v="767.50872552859801"/>
    <n v="3"/>
    <n v="227.05609125790801"/>
    <m/>
  </r>
  <r>
    <x v="198"/>
    <x v="4"/>
    <x v="2"/>
    <x v="3"/>
    <n v="941.01501522773901"/>
    <n v="2"/>
    <n v="103.88835796744701"/>
    <m/>
  </r>
  <r>
    <x v="19"/>
    <x v="3"/>
    <x v="1"/>
    <x v="2"/>
    <n v="25.664940276852601"/>
    <n v="3"/>
    <n v="5.6545131834683797"/>
    <m/>
  </r>
  <r>
    <x v="224"/>
    <x v="3"/>
    <x v="3"/>
    <x v="1"/>
    <n v="527.53254014625099"/>
    <n v="8"/>
    <n v="120.802933029787"/>
    <m/>
  </r>
  <r>
    <x v="163"/>
    <x v="3"/>
    <x v="2"/>
    <x v="0"/>
    <n v="476.15868266094498"/>
    <n v="16"/>
    <n v="96.103632695050393"/>
    <m/>
  </r>
  <r>
    <x v="76"/>
    <x v="0"/>
    <x v="1"/>
    <x v="0"/>
    <n v="659.49447175594696"/>
    <n v="6"/>
    <n v="47.578954914719198"/>
    <m/>
  </r>
  <r>
    <x v="135"/>
    <x v="4"/>
    <x v="0"/>
    <x v="1"/>
    <n v="563.98306592068798"/>
    <n v="13"/>
    <n v="123.635278635522"/>
    <m/>
  </r>
  <r>
    <x v="319"/>
    <x v="2"/>
    <x v="0"/>
    <x v="1"/>
    <n v="690.16875907665496"/>
    <n v="16"/>
    <n v="45.567479748636302"/>
    <m/>
  </r>
  <r>
    <x v="320"/>
    <x v="2"/>
    <x v="0"/>
    <x v="0"/>
    <n v="661.50175890169805"/>
    <n v="16"/>
    <n v="131.66244075347799"/>
    <m/>
  </r>
  <r>
    <x v="172"/>
    <x v="0"/>
    <x v="0"/>
    <x v="3"/>
    <n v="125.84160760936599"/>
    <n v="3"/>
    <n v="29.559601455271299"/>
    <m/>
  </r>
  <r>
    <x v="277"/>
    <x v="3"/>
    <x v="4"/>
    <x v="0"/>
    <n v="801.72073448253195"/>
    <n v="13"/>
    <n v="82.370770639508095"/>
    <m/>
  </r>
  <r>
    <x v="321"/>
    <x v="1"/>
    <x v="3"/>
    <x v="0"/>
    <n v="132.00024995916101"/>
    <n v="14"/>
    <n v="34.3735913396524"/>
    <m/>
  </r>
  <r>
    <x v="319"/>
    <x v="0"/>
    <x v="3"/>
    <x v="1"/>
    <n v="701.54531895704497"/>
    <n v="8"/>
    <n v="40.400908493905099"/>
    <m/>
  </r>
  <r>
    <x v="322"/>
    <x v="0"/>
    <x v="4"/>
    <x v="3"/>
    <n v="421.98391396419999"/>
    <n v="12"/>
    <n v="110.118059413178"/>
    <m/>
  </r>
  <r>
    <x v="157"/>
    <x v="4"/>
    <x v="2"/>
    <x v="0"/>
    <n v="518.71222723083201"/>
    <n v="8"/>
    <n v="85.630188141032306"/>
    <m/>
  </r>
  <r>
    <x v="60"/>
    <x v="2"/>
    <x v="2"/>
    <x v="0"/>
    <n v="904.265034231953"/>
    <n v="9"/>
    <n v="94.402543199284807"/>
    <m/>
  </r>
  <r>
    <x v="34"/>
    <x v="0"/>
    <x v="0"/>
    <x v="2"/>
    <n v="890.98488920875104"/>
    <n v="1"/>
    <n v="74.347820884438306"/>
    <m/>
  </r>
  <r>
    <x v="56"/>
    <x v="0"/>
    <x v="1"/>
    <x v="1"/>
    <n v="819.67774259847897"/>
    <n v="6"/>
    <n v="236.33505391164101"/>
    <m/>
  </r>
  <r>
    <x v="288"/>
    <x v="3"/>
    <x v="2"/>
    <x v="2"/>
    <n v="515.04689665175999"/>
    <n v="19"/>
    <n v="35.108891176850797"/>
    <m/>
  </r>
  <r>
    <x v="257"/>
    <x v="3"/>
    <x v="1"/>
    <x v="2"/>
    <n v="738.87741203249402"/>
    <n v="11"/>
    <n v="73.720278320363605"/>
    <m/>
  </r>
  <r>
    <x v="323"/>
    <x v="1"/>
    <x v="3"/>
    <x v="0"/>
    <n v="517.76808496362105"/>
    <n v="11"/>
    <n v="70.911231932670901"/>
    <m/>
  </r>
  <r>
    <x v="160"/>
    <x v="4"/>
    <x v="1"/>
    <x v="1"/>
    <n v="870.91002165002897"/>
    <n v="13"/>
    <n v="178.587687516709"/>
    <m/>
  </r>
  <r>
    <x v="269"/>
    <x v="1"/>
    <x v="3"/>
    <x v="3"/>
    <n v="408.74807490056997"/>
    <n v="11"/>
    <n v="76.109002447615296"/>
    <m/>
  </r>
  <r>
    <x v="219"/>
    <x v="3"/>
    <x v="4"/>
    <x v="0"/>
    <n v="970.53299097072795"/>
    <n v="18"/>
    <n v="79.011938170269104"/>
    <m/>
  </r>
  <r>
    <x v="51"/>
    <x v="2"/>
    <x v="4"/>
    <x v="3"/>
    <n v="932.99953064658803"/>
    <n v="15"/>
    <n v="114.228994743063"/>
    <m/>
  </r>
  <r>
    <x v="252"/>
    <x v="3"/>
    <x v="0"/>
    <x v="3"/>
    <n v="744.18659325726696"/>
    <n v="1"/>
    <n v="81.628296452525205"/>
    <m/>
  </r>
  <r>
    <x v="318"/>
    <x v="4"/>
    <x v="2"/>
    <x v="1"/>
    <n v="286.62172533431101"/>
    <n v="7"/>
    <n v="29.632591613424399"/>
    <m/>
  </r>
  <r>
    <x v="236"/>
    <x v="3"/>
    <x v="0"/>
    <x v="2"/>
    <n v="140.33705290532501"/>
    <n v="13"/>
    <n v="21.441548770345499"/>
    <m/>
  </r>
  <r>
    <x v="50"/>
    <x v="4"/>
    <x v="3"/>
    <x v="1"/>
    <n v="856.15641559226503"/>
    <n v="12"/>
    <n v="193.49808200838501"/>
    <m/>
  </r>
  <r>
    <x v="317"/>
    <x v="4"/>
    <x v="0"/>
    <x v="3"/>
    <n v="173.649263276581"/>
    <n v="18"/>
    <n v="18.1225985330429"/>
    <m/>
  </r>
  <r>
    <x v="156"/>
    <x v="4"/>
    <x v="1"/>
    <x v="0"/>
    <n v="855.71818110736206"/>
    <n v="19"/>
    <n v="121.22935505284801"/>
    <m/>
  </r>
  <r>
    <x v="290"/>
    <x v="4"/>
    <x v="3"/>
    <x v="3"/>
    <n v="495.857356645236"/>
    <n v="15"/>
    <n v="73.252688317265907"/>
    <m/>
  </r>
  <r>
    <x v="270"/>
    <x v="4"/>
    <x v="4"/>
    <x v="0"/>
    <n v="412.49121597002301"/>
    <n v="8"/>
    <n v="121.319496090671"/>
    <m/>
  </r>
  <r>
    <x v="164"/>
    <x v="2"/>
    <x v="2"/>
    <x v="0"/>
    <n v="904.15887104608396"/>
    <n v="19"/>
    <n v="261.00045741766797"/>
    <m/>
  </r>
  <r>
    <x v="324"/>
    <x v="1"/>
    <x v="3"/>
    <x v="1"/>
    <n v="607.81247271487496"/>
    <n v="10"/>
    <n v="151.974024306904"/>
    <m/>
  </r>
  <r>
    <x v="277"/>
    <x v="0"/>
    <x v="3"/>
    <x v="3"/>
    <n v="580.84786705841998"/>
    <n v="7"/>
    <n v="64.134160531286895"/>
    <m/>
  </r>
  <r>
    <x v="175"/>
    <x v="1"/>
    <x v="1"/>
    <x v="2"/>
    <n v="563.17828517815303"/>
    <n v="18"/>
    <n v="37.7381987284761"/>
    <m/>
  </r>
  <r>
    <x v="280"/>
    <x v="4"/>
    <x v="2"/>
    <x v="3"/>
    <n v="377.45782085933598"/>
    <n v="16"/>
    <n v="48.777377354300199"/>
    <m/>
  </r>
  <r>
    <x v="266"/>
    <x v="2"/>
    <x v="4"/>
    <x v="3"/>
    <n v="787.78667249383602"/>
    <n v="6"/>
    <n v="91.933631209184199"/>
    <m/>
  </r>
  <r>
    <x v="206"/>
    <x v="3"/>
    <x v="3"/>
    <x v="2"/>
    <n v="260.27045957561501"/>
    <n v="9"/>
    <n v="45.932908107596397"/>
    <m/>
  </r>
  <r>
    <x v="306"/>
    <x v="2"/>
    <x v="3"/>
    <x v="1"/>
    <n v="939.50601044086204"/>
    <n v="13"/>
    <n v="229.645312021118"/>
    <m/>
  </r>
  <r>
    <x v="12"/>
    <x v="4"/>
    <x v="1"/>
    <x v="3"/>
    <n v="895.04535299649103"/>
    <n v="8"/>
    <n v="236.81175710327699"/>
    <m/>
  </r>
  <r>
    <x v="160"/>
    <x v="2"/>
    <x v="0"/>
    <x v="3"/>
    <n v="344.10552241814901"/>
    <n v="16"/>
    <n v="89.885875491536098"/>
    <m/>
  </r>
  <r>
    <x v="210"/>
    <x v="2"/>
    <x v="4"/>
    <x v="0"/>
    <n v="732.16913213334703"/>
    <n v="13"/>
    <n v="102.444292484234"/>
    <m/>
  </r>
  <r>
    <x v="190"/>
    <x v="4"/>
    <x v="2"/>
    <x v="3"/>
    <n v="577.49096250509501"/>
    <n v="13"/>
    <n v="128.09245374317101"/>
    <m/>
  </r>
  <r>
    <x v="116"/>
    <x v="2"/>
    <x v="3"/>
    <x v="2"/>
    <n v="344.27280897924197"/>
    <n v="17"/>
    <n v="44.138717430569699"/>
    <m/>
  </r>
  <r>
    <x v="190"/>
    <x v="0"/>
    <x v="3"/>
    <x v="0"/>
    <n v="988.63643151549195"/>
    <n v="5"/>
    <n v="64.485181306660493"/>
    <m/>
  </r>
  <r>
    <x v="218"/>
    <x v="0"/>
    <x v="4"/>
    <x v="1"/>
    <n v="34.984972389781497"/>
    <n v="17"/>
    <n v="7.8853089811762498"/>
    <m/>
  </r>
  <r>
    <x v="274"/>
    <x v="2"/>
    <x v="0"/>
    <x v="0"/>
    <n v="260.11957031507302"/>
    <n v="9"/>
    <n v="13.645063203679101"/>
    <m/>
  </r>
  <r>
    <x v="126"/>
    <x v="3"/>
    <x v="3"/>
    <x v="2"/>
    <n v="524.87332050003795"/>
    <n v="2"/>
    <n v="79.935921867535498"/>
    <m/>
  </r>
  <r>
    <x v="325"/>
    <x v="4"/>
    <x v="4"/>
    <x v="2"/>
    <n v="526.73347344377805"/>
    <n v="18"/>
    <n v="69.710445322152907"/>
    <m/>
  </r>
  <r>
    <x v="7"/>
    <x v="0"/>
    <x v="1"/>
    <x v="0"/>
    <n v="593.04374419610804"/>
    <n v="9"/>
    <n v="132.45299010598001"/>
    <m/>
  </r>
  <r>
    <x v="34"/>
    <x v="3"/>
    <x v="0"/>
    <x v="1"/>
    <n v="754.15941030269005"/>
    <n v="6"/>
    <n v="182.17577898615201"/>
    <m/>
  </r>
  <r>
    <x v="21"/>
    <x v="2"/>
    <x v="2"/>
    <x v="0"/>
    <n v="627.24305221410305"/>
    <n v="11"/>
    <n v="79.047464517846294"/>
    <m/>
  </r>
  <r>
    <x v="109"/>
    <x v="3"/>
    <x v="3"/>
    <x v="1"/>
    <n v="604.27864592275603"/>
    <n v="6"/>
    <n v="152.82615061690399"/>
    <m/>
  </r>
  <r>
    <x v="52"/>
    <x v="1"/>
    <x v="4"/>
    <x v="0"/>
    <n v="62.979318283912797"/>
    <n v="6"/>
    <n v="7.77663521639984"/>
    <m/>
  </r>
  <r>
    <x v="30"/>
    <x v="0"/>
    <x v="1"/>
    <x v="2"/>
    <n v="382.76498491140501"/>
    <n v="13"/>
    <n v="61.847774857024902"/>
    <m/>
  </r>
  <r>
    <x v="199"/>
    <x v="2"/>
    <x v="2"/>
    <x v="3"/>
    <n v="239.73518230414399"/>
    <n v="11"/>
    <n v="55.559738893263201"/>
    <m/>
  </r>
  <r>
    <x v="24"/>
    <x v="4"/>
    <x v="4"/>
    <x v="3"/>
    <n v="272.71641048595501"/>
    <n v="14"/>
    <n v="60.878499941120197"/>
    <m/>
  </r>
  <r>
    <x v="168"/>
    <x v="2"/>
    <x v="4"/>
    <x v="1"/>
    <n v="558.79409959694101"/>
    <n v="2"/>
    <n v="165.873624093872"/>
    <m/>
  </r>
  <r>
    <x v="247"/>
    <x v="4"/>
    <x v="2"/>
    <x v="1"/>
    <n v="207.51026178031199"/>
    <n v="8"/>
    <n v="22.0563188584584"/>
    <m/>
  </r>
  <r>
    <x v="288"/>
    <x v="2"/>
    <x v="1"/>
    <x v="1"/>
    <n v="301.009610006728"/>
    <n v="3"/>
    <n v="64.891494714091394"/>
    <m/>
  </r>
  <r>
    <x v="141"/>
    <x v="3"/>
    <x v="1"/>
    <x v="2"/>
    <n v="244.713861432166"/>
    <n v="3"/>
    <n v="49.535096576482701"/>
    <m/>
  </r>
  <r>
    <x v="271"/>
    <x v="3"/>
    <x v="0"/>
    <x v="0"/>
    <n v="949.01791378601195"/>
    <n v="1"/>
    <n v="264.56210223653301"/>
    <m/>
  </r>
  <r>
    <x v="49"/>
    <x v="3"/>
    <x v="3"/>
    <x v="2"/>
    <n v="945.21907484938401"/>
    <n v="19"/>
    <n v="84.210073459228497"/>
    <m/>
  </r>
  <r>
    <x v="202"/>
    <x v="1"/>
    <x v="2"/>
    <x v="3"/>
    <n v="613.84214301009104"/>
    <n v="18"/>
    <n v="146.06345611231799"/>
    <m/>
  </r>
  <r>
    <x v="318"/>
    <x v="4"/>
    <x v="2"/>
    <x v="1"/>
    <n v="925.27724404458002"/>
    <n v="17"/>
    <n v="177.71536698677701"/>
    <m/>
  </r>
  <r>
    <x v="316"/>
    <x v="3"/>
    <x v="2"/>
    <x v="0"/>
    <n v="787.95451901368904"/>
    <n v="13"/>
    <n v="93.503779280235804"/>
    <m/>
  </r>
  <r>
    <x v="64"/>
    <x v="1"/>
    <x v="1"/>
    <x v="3"/>
    <n v="594.04840397378996"/>
    <n v="3"/>
    <n v="100.16174608333201"/>
    <m/>
  </r>
  <r>
    <x v="82"/>
    <x v="4"/>
    <x v="3"/>
    <x v="3"/>
    <n v="16.3708593818277"/>
    <n v="1"/>
    <n v="2.1845954029850398"/>
    <m/>
  </r>
  <r>
    <x v="326"/>
    <x v="2"/>
    <x v="0"/>
    <x v="3"/>
    <n v="774.79112321860998"/>
    <n v="4"/>
    <n v="150.951276671447"/>
    <m/>
  </r>
  <r>
    <x v="313"/>
    <x v="1"/>
    <x v="4"/>
    <x v="2"/>
    <n v="705.46345817258396"/>
    <n v="13"/>
    <n v="192.06253421434201"/>
    <m/>
  </r>
  <r>
    <x v="277"/>
    <x v="0"/>
    <x v="4"/>
    <x v="1"/>
    <n v="619.10111674958898"/>
    <n v="17"/>
    <n v="119.069393742655"/>
    <m/>
  </r>
  <r>
    <x v="238"/>
    <x v="1"/>
    <x v="2"/>
    <x v="3"/>
    <n v="762.82006856564703"/>
    <n v="11"/>
    <n v="158.61363804386701"/>
    <m/>
  </r>
  <r>
    <x v="139"/>
    <x v="1"/>
    <x v="3"/>
    <x v="1"/>
    <n v="517.79294312701802"/>
    <n v="2"/>
    <n v="93.040640780933302"/>
    <m/>
  </r>
  <r>
    <x v="105"/>
    <x v="4"/>
    <x v="1"/>
    <x v="2"/>
    <n v="707.04243860812505"/>
    <n v="16"/>
    <n v="44.396168042863501"/>
    <m/>
  </r>
  <r>
    <x v="248"/>
    <x v="2"/>
    <x v="3"/>
    <x v="3"/>
    <n v="935.82036585922799"/>
    <n v="2"/>
    <n v="101.269463265271"/>
    <m/>
  </r>
  <r>
    <x v="327"/>
    <x v="0"/>
    <x v="3"/>
    <x v="2"/>
    <n v="382.046965687625"/>
    <n v="19"/>
    <n v="66.0942902450291"/>
    <m/>
  </r>
  <r>
    <x v="237"/>
    <x v="3"/>
    <x v="1"/>
    <x v="2"/>
    <n v="711.040616551619"/>
    <n v="19"/>
    <n v="90.699502685056302"/>
    <m/>
  </r>
  <r>
    <x v="3"/>
    <x v="3"/>
    <x v="2"/>
    <x v="1"/>
    <n v="480.93093983084901"/>
    <n v="16"/>
    <n v="45.900481466124297"/>
    <m/>
  </r>
  <r>
    <x v="242"/>
    <x v="1"/>
    <x v="3"/>
    <x v="3"/>
    <n v="677.65565529584103"/>
    <n v="19"/>
    <n v="119.28990060139"/>
    <m/>
  </r>
  <r>
    <x v="99"/>
    <x v="4"/>
    <x v="4"/>
    <x v="2"/>
    <n v="765.26440219881999"/>
    <n v="9"/>
    <n v="100.021931011639"/>
    <m/>
  </r>
  <r>
    <x v="325"/>
    <x v="4"/>
    <x v="1"/>
    <x v="3"/>
    <n v="54.997975431438"/>
    <n v="1"/>
    <n v="6.2987482260513499"/>
    <m/>
  </r>
  <r>
    <x v="272"/>
    <x v="3"/>
    <x v="0"/>
    <x v="1"/>
    <n v="650.13443950917497"/>
    <n v="10"/>
    <n v="107.919946802466"/>
    <m/>
  </r>
  <r>
    <x v="222"/>
    <x v="0"/>
    <x v="2"/>
    <x v="2"/>
    <n v="234.47377256287501"/>
    <n v="19"/>
    <n v="19.536604332086501"/>
    <m/>
  </r>
  <r>
    <x v="296"/>
    <x v="2"/>
    <x v="1"/>
    <x v="1"/>
    <n v="673.33221242949105"/>
    <n v="1"/>
    <n v="189.836882377395"/>
    <m/>
  </r>
  <r>
    <x v="108"/>
    <x v="0"/>
    <x v="0"/>
    <x v="3"/>
    <n v="473.646884074475"/>
    <n v="2"/>
    <n v="126.428442949806"/>
    <m/>
  </r>
  <r>
    <x v="306"/>
    <x v="2"/>
    <x v="0"/>
    <x v="3"/>
    <n v="775.81721444623804"/>
    <n v="16"/>
    <n v="176.03691865082101"/>
    <m/>
  </r>
  <r>
    <x v="150"/>
    <x v="3"/>
    <x v="3"/>
    <x v="1"/>
    <n v="132.16680705354"/>
    <n v="12"/>
    <n v="10.1178259670024"/>
    <m/>
  </r>
  <r>
    <x v="223"/>
    <x v="2"/>
    <x v="3"/>
    <x v="0"/>
    <n v="630.059128139633"/>
    <n v="8"/>
    <n v="153.71509303061799"/>
    <m/>
  </r>
  <r>
    <x v="25"/>
    <x v="4"/>
    <x v="3"/>
    <x v="2"/>
    <n v="285.68602163827597"/>
    <n v="18"/>
    <n v="71.989829762153207"/>
    <m/>
  </r>
  <r>
    <x v="149"/>
    <x v="1"/>
    <x v="1"/>
    <x v="3"/>
    <n v="854.45217537728502"/>
    <n v="2"/>
    <n v="206.727145714795"/>
    <m/>
  </r>
  <r>
    <x v="113"/>
    <x v="1"/>
    <x v="1"/>
    <x v="3"/>
    <n v="929.09967057994402"/>
    <n v="13"/>
    <n v="72.926400573956698"/>
    <m/>
  </r>
  <r>
    <x v="301"/>
    <x v="3"/>
    <x v="2"/>
    <x v="2"/>
    <n v="996.43431074226396"/>
    <n v="6"/>
    <n v="210.22471088268199"/>
    <m/>
  </r>
  <r>
    <x v="217"/>
    <x v="4"/>
    <x v="3"/>
    <x v="1"/>
    <n v="798.04732840301006"/>
    <n v="6"/>
    <n v="206.36003498719899"/>
    <m/>
  </r>
  <r>
    <x v="327"/>
    <x v="0"/>
    <x v="0"/>
    <x v="1"/>
    <n v="756.19672972372405"/>
    <n v="9"/>
    <n v="146.958024960481"/>
    <m/>
  </r>
  <r>
    <x v="105"/>
    <x v="4"/>
    <x v="4"/>
    <x v="1"/>
    <n v="223.34575127887501"/>
    <n v="16"/>
    <n v="47.2603727770746"/>
    <m/>
  </r>
  <r>
    <x v="46"/>
    <x v="1"/>
    <x v="2"/>
    <x v="0"/>
    <n v="342.64698840020702"/>
    <n v="11"/>
    <n v="56.396565874526402"/>
    <m/>
  </r>
  <r>
    <x v="94"/>
    <x v="1"/>
    <x v="1"/>
    <x v="0"/>
    <n v="471.02571634465602"/>
    <n v="7"/>
    <n v="85.809971838495102"/>
    <m/>
  </r>
  <r>
    <x v="316"/>
    <x v="4"/>
    <x v="2"/>
    <x v="3"/>
    <n v="775.64723730442699"/>
    <n v="10"/>
    <n v="45.448440667151601"/>
    <m/>
  </r>
  <r>
    <x v="101"/>
    <x v="4"/>
    <x v="2"/>
    <x v="1"/>
    <n v="915.81620642718894"/>
    <n v="10"/>
    <n v="192.08398302906599"/>
    <m/>
  </r>
  <r>
    <x v="196"/>
    <x v="1"/>
    <x v="2"/>
    <x v="2"/>
    <n v="197.24770902275401"/>
    <n v="18"/>
    <n v="13.8787044884051"/>
    <m/>
  </r>
  <r>
    <x v="255"/>
    <x v="0"/>
    <x v="2"/>
    <x v="3"/>
    <n v="923.14380982340106"/>
    <n v="9"/>
    <n v="146.55244797817301"/>
    <m/>
  </r>
  <r>
    <x v="46"/>
    <x v="3"/>
    <x v="4"/>
    <x v="2"/>
    <n v="698.66840583051703"/>
    <n v="15"/>
    <n v="86.050637927891401"/>
    <m/>
  </r>
  <r>
    <x v="127"/>
    <x v="3"/>
    <x v="3"/>
    <x v="3"/>
    <n v="614.66302337818797"/>
    <n v="4"/>
    <n v="114.546749396934"/>
    <m/>
  </r>
  <r>
    <x v="300"/>
    <x v="4"/>
    <x v="0"/>
    <x v="0"/>
    <n v="207.84285856912001"/>
    <n v="8"/>
    <n v="17.324551067196001"/>
    <m/>
  </r>
  <r>
    <x v="293"/>
    <x v="3"/>
    <x v="2"/>
    <x v="3"/>
    <n v="64.969782481058999"/>
    <n v="9"/>
    <n v="14.482469469219399"/>
    <m/>
  </r>
  <r>
    <x v="328"/>
    <x v="1"/>
    <x v="2"/>
    <x v="0"/>
    <n v="572.78024952286"/>
    <n v="13"/>
    <n v="142.48073910000301"/>
    <m/>
  </r>
  <r>
    <x v="324"/>
    <x v="1"/>
    <x v="2"/>
    <x v="3"/>
    <n v="655.00052649560303"/>
    <n v="9"/>
    <n v="59.499338971571902"/>
    <m/>
  </r>
  <r>
    <x v="192"/>
    <x v="4"/>
    <x v="3"/>
    <x v="1"/>
    <n v="218.67363486114101"/>
    <n v="4"/>
    <n v="16.636312236763001"/>
    <m/>
  </r>
  <r>
    <x v="329"/>
    <x v="4"/>
    <x v="1"/>
    <x v="2"/>
    <n v="560.891643767201"/>
    <n v="17"/>
    <n v="48.449186771904998"/>
    <m/>
  </r>
  <r>
    <x v="248"/>
    <x v="4"/>
    <x v="1"/>
    <x v="1"/>
    <n v="857.92846873494705"/>
    <n v="16"/>
    <n v="231.024599952947"/>
    <m/>
  </r>
  <r>
    <x v="43"/>
    <x v="0"/>
    <x v="4"/>
    <x v="3"/>
    <n v="836.71528600046895"/>
    <n v="15"/>
    <n v="152.32177160323499"/>
    <m/>
  </r>
  <r>
    <x v="19"/>
    <x v="3"/>
    <x v="1"/>
    <x v="3"/>
    <n v="928.08162878043402"/>
    <n v="3"/>
    <n v="154.81816799907401"/>
    <m/>
  </r>
  <r>
    <x v="106"/>
    <x v="4"/>
    <x v="2"/>
    <x v="3"/>
    <n v="372.22695146131099"/>
    <n v="5"/>
    <n v="28.5416013504056"/>
    <m/>
  </r>
  <r>
    <x v="81"/>
    <x v="2"/>
    <x v="2"/>
    <x v="0"/>
    <n v="324.86907682540902"/>
    <n v="5"/>
    <n v="68.998618906653903"/>
    <m/>
  </r>
  <r>
    <x v="20"/>
    <x v="2"/>
    <x v="2"/>
    <x v="2"/>
    <n v="751.93174592100002"/>
    <n v="15"/>
    <n v="200.765699444147"/>
    <m/>
  </r>
  <r>
    <x v="312"/>
    <x v="1"/>
    <x v="4"/>
    <x v="2"/>
    <n v="436.80128104603398"/>
    <n v="18"/>
    <n v="112.278226218478"/>
    <m/>
  </r>
  <r>
    <x v="94"/>
    <x v="3"/>
    <x v="2"/>
    <x v="3"/>
    <n v="96.673177387502804"/>
    <n v="15"/>
    <n v="19.9643333532707"/>
    <m/>
  </r>
  <r>
    <x v="67"/>
    <x v="4"/>
    <x v="1"/>
    <x v="3"/>
    <n v="289.97311936379401"/>
    <n v="2"/>
    <n v="19.955857040486901"/>
    <m/>
  </r>
  <r>
    <x v="173"/>
    <x v="2"/>
    <x v="3"/>
    <x v="0"/>
    <n v="424.396462676174"/>
    <n v="13"/>
    <n v="33.1450483210131"/>
    <m/>
  </r>
  <r>
    <x v="219"/>
    <x v="3"/>
    <x v="3"/>
    <x v="1"/>
    <n v="299.59126122148899"/>
    <n v="4"/>
    <n v="18.672698470521102"/>
    <m/>
  </r>
  <r>
    <x v="93"/>
    <x v="1"/>
    <x v="0"/>
    <x v="1"/>
    <n v="338.88351523784797"/>
    <n v="10"/>
    <n v="38.7580412583061"/>
    <m/>
  </r>
  <r>
    <x v="129"/>
    <x v="0"/>
    <x v="1"/>
    <x v="2"/>
    <n v="300.83814711264603"/>
    <n v="13"/>
    <n v="25.244943459410099"/>
    <m/>
  </r>
  <r>
    <x v="156"/>
    <x v="3"/>
    <x v="2"/>
    <x v="0"/>
    <n v="51.084175511248603"/>
    <n v="10"/>
    <n v="5.8752937079653202"/>
    <m/>
  </r>
  <r>
    <x v="330"/>
    <x v="3"/>
    <x v="3"/>
    <x v="3"/>
    <n v="640.72375381619804"/>
    <n v="9"/>
    <n v="93.715148415164805"/>
    <m/>
  </r>
  <r>
    <x v="285"/>
    <x v="0"/>
    <x v="1"/>
    <x v="2"/>
    <n v="601.31949614993403"/>
    <n v="8"/>
    <n v="171.82445795642599"/>
    <m/>
  </r>
  <r>
    <x v="241"/>
    <x v="3"/>
    <x v="3"/>
    <x v="0"/>
    <n v="656.84966349389299"/>
    <n v="3"/>
    <n v="133.07381054277701"/>
    <m/>
  </r>
  <r>
    <x v="125"/>
    <x v="1"/>
    <x v="2"/>
    <x v="1"/>
    <n v="200.38679707329101"/>
    <n v="16"/>
    <n v="51.848770491956898"/>
    <m/>
  </r>
  <r>
    <x v="308"/>
    <x v="1"/>
    <x v="3"/>
    <x v="0"/>
    <n v="302.69799619636001"/>
    <n v="14"/>
    <n v="68.8903937749931"/>
    <m/>
  </r>
  <r>
    <x v="285"/>
    <x v="0"/>
    <x v="0"/>
    <x v="1"/>
    <n v="623.41976767547305"/>
    <n v="9"/>
    <n v="48.705157257692697"/>
    <m/>
  </r>
  <r>
    <x v="189"/>
    <x v="4"/>
    <x v="0"/>
    <x v="0"/>
    <n v="603.63129277532198"/>
    <n v="11"/>
    <n v="141.237711208577"/>
    <m/>
  </r>
  <r>
    <x v="331"/>
    <x v="2"/>
    <x v="3"/>
    <x v="2"/>
    <n v="511.267006260725"/>
    <n v="3"/>
    <n v="60.725595713137999"/>
    <m/>
  </r>
  <r>
    <x v="141"/>
    <x v="4"/>
    <x v="1"/>
    <x v="1"/>
    <n v="356.90911751009497"/>
    <n v="5"/>
    <n v="74.871310291669204"/>
    <m/>
  </r>
  <r>
    <x v="287"/>
    <x v="3"/>
    <x v="1"/>
    <x v="2"/>
    <n v="913.80169472694297"/>
    <n v="10"/>
    <n v="123.582992074448"/>
    <m/>
  </r>
  <r>
    <x v="291"/>
    <x v="2"/>
    <x v="1"/>
    <x v="2"/>
    <n v="346.37253987585501"/>
    <n v="13"/>
    <n v="103.710195941461"/>
    <m/>
  </r>
  <r>
    <x v="324"/>
    <x v="0"/>
    <x v="3"/>
    <x v="1"/>
    <n v="461.06296487287898"/>
    <n v="4"/>
    <n v="53.431604876998499"/>
    <m/>
  </r>
  <r>
    <x v="307"/>
    <x v="0"/>
    <x v="1"/>
    <x v="1"/>
    <n v="681.33269264466605"/>
    <n v="13"/>
    <n v="81.611813445184893"/>
    <m/>
  </r>
  <r>
    <x v="324"/>
    <x v="2"/>
    <x v="2"/>
    <x v="3"/>
    <n v="547.59121655809599"/>
    <n v="12"/>
    <n v="154.78654898797501"/>
    <m/>
  </r>
  <r>
    <x v="318"/>
    <x v="1"/>
    <x v="0"/>
    <x v="3"/>
    <n v="353.417116600741"/>
    <n v="5"/>
    <n v="19.8482944367648"/>
    <m/>
  </r>
  <r>
    <x v="324"/>
    <x v="2"/>
    <x v="2"/>
    <x v="3"/>
    <n v="441.28834255194403"/>
    <n v="10"/>
    <n v="98.924599310785894"/>
    <m/>
  </r>
  <r>
    <x v="53"/>
    <x v="3"/>
    <x v="1"/>
    <x v="2"/>
    <n v="796.53600967497096"/>
    <n v="9"/>
    <n v="184.263947730924"/>
    <m/>
  </r>
  <r>
    <x v="26"/>
    <x v="1"/>
    <x v="2"/>
    <x v="2"/>
    <n v="285.34786393174602"/>
    <n v="7"/>
    <n v="73.932103322169795"/>
    <m/>
  </r>
  <r>
    <x v="314"/>
    <x v="0"/>
    <x v="1"/>
    <x v="3"/>
    <n v="150.832687379047"/>
    <n v="2"/>
    <n v="44.285959346799203"/>
    <m/>
  </r>
  <r>
    <x v="114"/>
    <x v="2"/>
    <x v="3"/>
    <x v="2"/>
    <n v="320.03156981147902"/>
    <n v="7"/>
    <n v="94.057431915272801"/>
    <m/>
  </r>
  <r>
    <x v="107"/>
    <x v="4"/>
    <x v="2"/>
    <x v="2"/>
    <n v="851.03887333302202"/>
    <n v="8"/>
    <n v="56.440208220200098"/>
    <m/>
  </r>
  <r>
    <x v="203"/>
    <x v="4"/>
    <x v="3"/>
    <x v="1"/>
    <n v="98.099817707783103"/>
    <n v="7"/>
    <n v="25.060562822175999"/>
    <m/>
  </r>
  <r>
    <x v="149"/>
    <x v="3"/>
    <x v="3"/>
    <x v="1"/>
    <n v="991.77911263872704"/>
    <n v="14"/>
    <n v="209.838128755014"/>
    <m/>
  </r>
  <r>
    <x v="313"/>
    <x v="4"/>
    <x v="4"/>
    <x v="2"/>
    <n v="545.59286993838498"/>
    <n v="19"/>
    <n v="115.575956728083"/>
    <m/>
  </r>
  <r>
    <x v="38"/>
    <x v="2"/>
    <x v="1"/>
    <x v="3"/>
    <n v="984.99728652742294"/>
    <n v="5"/>
    <n v="80.855946686738207"/>
    <m/>
  </r>
  <r>
    <x v="198"/>
    <x v="2"/>
    <x v="0"/>
    <x v="0"/>
    <n v="939.60645786511702"/>
    <n v="18"/>
    <n v="199.710337996595"/>
    <m/>
  </r>
  <r>
    <x v="148"/>
    <x v="4"/>
    <x v="1"/>
    <x v="3"/>
    <n v="458.28557706880702"/>
    <n v="12"/>
    <n v="135.47867795616301"/>
    <m/>
  </r>
  <r>
    <x v="196"/>
    <x v="2"/>
    <x v="0"/>
    <x v="0"/>
    <n v="206.50616385929499"/>
    <n v="17"/>
    <n v="57.399346925780101"/>
    <m/>
  </r>
  <r>
    <x v="244"/>
    <x v="3"/>
    <x v="1"/>
    <x v="3"/>
    <n v="173.235928799487"/>
    <n v="13"/>
    <n v="27.680098412189501"/>
    <m/>
  </r>
  <r>
    <x v="91"/>
    <x v="1"/>
    <x v="3"/>
    <x v="1"/>
    <n v="247.589470231257"/>
    <n v="2"/>
    <n v="14.852147897242"/>
    <m/>
  </r>
  <r>
    <x v="15"/>
    <x v="3"/>
    <x v="2"/>
    <x v="2"/>
    <n v="713.03131415889095"/>
    <n v="13"/>
    <n v="100.23321652945801"/>
    <m/>
  </r>
  <r>
    <x v="21"/>
    <x v="3"/>
    <x v="2"/>
    <x v="2"/>
    <n v="280.22049478417199"/>
    <n v="7"/>
    <n v="71.903900239597206"/>
    <m/>
  </r>
  <r>
    <x v="143"/>
    <x v="2"/>
    <x v="4"/>
    <x v="1"/>
    <n v="348.01101690825499"/>
    <n v="10"/>
    <n v="78.432904760692693"/>
    <m/>
  </r>
  <r>
    <x v="297"/>
    <x v="1"/>
    <x v="0"/>
    <x v="0"/>
    <n v="454.29101595466801"/>
    <n v="6"/>
    <n v="74.8834747907609"/>
    <m/>
  </r>
  <r>
    <x v="178"/>
    <x v="2"/>
    <x v="0"/>
    <x v="0"/>
    <n v="914.10035361724101"/>
    <n v="3"/>
    <n v="58.2971008742471"/>
    <m/>
  </r>
  <r>
    <x v="200"/>
    <x v="0"/>
    <x v="0"/>
    <x v="0"/>
    <n v="197.49948370599699"/>
    <n v="3"/>
    <n v="30.952846270778501"/>
    <m/>
  </r>
  <r>
    <x v="237"/>
    <x v="2"/>
    <x v="3"/>
    <x v="1"/>
    <n v="14.976287083705"/>
    <n v="18"/>
    <n v="2.5048773908433701"/>
    <m/>
  </r>
  <r>
    <x v="9"/>
    <x v="2"/>
    <x v="0"/>
    <x v="0"/>
    <n v="69.495446274388399"/>
    <n v="11"/>
    <n v="19.607367600977"/>
    <m/>
  </r>
  <r>
    <x v="145"/>
    <x v="2"/>
    <x v="2"/>
    <x v="1"/>
    <n v="905.71867826331595"/>
    <n v="5"/>
    <n v="190.446848510519"/>
    <m/>
  </r>
  <r>
    <x v="237"/>
    <x v="1"/>
    <x v="3"/>
    <x v="3"/>
    <n v="651.04130019492902"/>
    <n v="19"/>
    <n v="83.276795026842606"/>
    <m/>
  </r>
  <r>
    <x v="206"/>
    <x v="2"/>
    <x v="1"/>
    <x v="3"/>
    <n v="280.310213134528"/>
    <n v="19"/>
    <n v="50.828529324637003"/>
    <m/>
  </r>
  <r>
    <x v="13"/>
    <x v="1"/>
    <x v="0"/>
    <x v="1"/>
    <n v="185.42057600107901"/>
    <n v="15"/>
    <n v="12.3330321061323"/>
    <m/>
  </r>
  <r>
    <x v="239"/>
    <x v="4"/>
    <x v="0"/>
    <x v="2"/>
    <n v="301.324069270743"/>
    <n v="16"/>
    <n v="88.330758065898607"/>
    <m/>
  </r>
  <r>
    <x v="144"/>
    <x v="0"/>
    <x v="1"/>
    <x v="3"/>
    <n v="123.648957978767"/>
    <n v="9"/>
    <n v="17.312705819856198"/>
    <m/>
  </r>
  <r>
    <x v="157"/>
    <x v="1"/>
    <x v="0"/>
    <x v="0"/>
    <n v="942.11758118159605"/>
    <n v="4"/>
    <n v="159.657688193182"/>
    <m/>
  </r>
  <r>
    <x v="128"/>
    <x v="4"/>
    <x v="1"/>
    <x v="1"/>
    <n v="786.36411262161403"/>
    <n v="15"/>
    <n v="109.163847413455"/>
    <m/>
  </r>
  <r>
    <x v="332"/>
    <x v="1"/>
    <x v="3"/>
    <x v="0"/>
    <n v="467.76726514341499"/>
    <n v="12"/>
    <n v="103.202524613359"/>
    <m/>
  </r>
  <r>
    <x v="333"/>
    <x v="1"/>
    <x v="2"/>
    <x v="0"/>
    <n v="866.31297906404996"/>
    <n v="3"/>
    <n v="186.74072743183299"/>
    <m/>
  </r>
  <r>
    <x v="244"/>
    <x v="0"/>
    <x v="1"/>
    <x v="2"/>
    <n v="256.96362225029998"/>
    <n v="14"/>
    <n v="58.801134110020101"/>
    <m/>
  </r>
  <r>
    <x v="124"/>
    <x v="3"/>
    <x v="4"/>
    <x v="0"/>
    <n v="719.94936278747105"/>
    <n v="17"/>
    <n v="84.259854963092806"/>
    <m/>
  </r>
  <r>
    <x v="211"/>
    <x v="3"/>
    <x v="1"/>
    <x v="2"/>
    <n v="857.57117402360598"/>
    <n v="19"/>
    <n v="110.555606199709"/>
    <m/>
  </r>
  <r>
    <x v="203"/>
    <x v="1"/>
    <x v="0"/>
    <x v="3"/>
    <n v="363.20102450703899"/>
    <n v="6"/>
    <n v="29.532895089079599"/>
    <m/>
  </r>
  <r>
    <x v="231"/>
    <x v="2"/>
    <x v="3"/>
    <x v="1"/>
    <n v="759.88980099621006"/>
    <n v="4"/>
    <n v="162.523325564104"/>
    <m/>
  </r>
  <r>
    <x v="153"/>
    <x v="4"/>
    <x v="3"/>
    <x v="0"/>
    <n v="302.121625771666"/>
    <n v="7"/>
    <n v="18.111974491505599"/>
    <m/>
  </r>
  <r>
    <x v="184"/>
    <x v="2"/>
    <x v="1"/>
    <x v="1"/>
    <n v="305.86856390643999"/>
    <n v="19"/>
    <n v="60.996487605023901"/>
    <m/>
  </r>
  <r>
    <x v="200"/>
    <x v="2"/>
    <x v="2"/>
    <x v="0"/>
    <n v="115.98660676864399"/>
    <n v="17"/>
    <n v="31.017598989580801"/>
    <m/>
  </r>
  <r>
    <x v="319"/>
    <x v="1"/>
    <x v="4"/>
    <x v="1"/>
    <n v="445.65746604430399"/>
    <n v="16"/>
    <n v="121.53437277160501"/>
    <m/>
  </r>
  <r>
    <x v="133"/>
    <x v="1"/>
    <x v="3"/>
    <x v="0"/>
    <n v="732.41478743244795"/>
    <n v="15"/>
    <n v="118.841213324249"/>
    <m/>
  </r>
  <r>
    <x v="250"/>
    <x v="1"/>
    <x v="0"/>
    <x v="0"/>
    <n v="940.81859751557204"/>
    <n v="8"/>
    <n v="155.07129282036701"/>
    <m/>
  </r>
  <r>
    <x v="258"/>
    <x v="1"/>
    <x v="0"/>
    <x v="0"/>
    <n v="607.75902200980499"/>
    <n v="19"/>
    <n v="42.082629947951801"/>
    <m/>
  </r>
  <r>
    <x v="100"/>
    <x v="3"/>
    <x v="2"/>
    <x v="0"/>
    <n v="864.50418235838094"/>
    <n v="8"/>
    <n v="188.19500158672599"/>
    <m/>
  </r>
  <r>
    <x v="187"/>
    <x v="1"/>
    <x v="3"/>
    <x v="0"/>
    <n v="824.26970279732404"/>
    <n v="18"/>
    <n v="210.44829972742301"/>
    <m/>
  </r>
  <r>
    <x v="319"/>
    <x v="3"/>
    <x v="1"/>
    <x v="0"/>
    <n v="181.609622445528"/>
    <n v="16"/>
    <n v="20.188409146314299"/>
    <m/>
  </r>
  <r>
    <x v="159"/>
    <x v="3"/>
    <x v="0"/>
    <x v="0"/>
    <n v="490.95925462350499"/>
    <n v="19"/>
    <n v="76.258354435910803"/>
    <m/>
  </r>
  <r>
    <x v="222"/>
    <x v="1"/>
    <x v="2"/>
    <x v="0"/>
    <n v="125.754300170137"/>
    <n v="10"/>
    <n v="32.659628446031597"/>
    <m/>
  </r>
  <r>
    <x v="226"/>
    <x v="0"/>
    <x v="3"/>
    <x v="0"/>
    <n v="685.33162994601798"/>
    <n v="17"/>
    <n v="184.546181437803"/>
    <m/>
  </r>
  <r>
    <x v="330"/>
    <x v="4"/>
    <x v="3"/>
    <x v="1"/>
    <n v="950.40067156361499"/>
    <n v="13"/>
    <n v="105.29963771666699"/>
    <m/>
  </r>
  <r>
    <x v="288"/>
    <x v="2"/>
    <x v="3"/>
    <x v="2"/>
    <n v="145.71856349796801"/>
    <n v="13"/>
    <n v="27.343018667281601"/>
    <m/>
  </r>
  <r>
    <x v="168"/>
    <x v="3"/>
    <x v="3"/>
    <x v="0"/>
    <n v="736.54429949451503"/>
    <n v="7"/>
    <n v="72.272148172865101"/>
    <m/>
  </r>
  <r>
    <x v="250"/>
    <x v="4"/>
    <x v="3"/>
    <x v="2"/>
    <n v="635.91576935918204"/>
    <n v="10"/>
    <n v="47.992366637751303"/>
    <m/>
  </r>
  <r>
    <x v="158"/>
    <x v="0"/>
    <x v="0"/>
    <x v="0"/>
    <n v="587.76898663801796"/>
    <n v="2"/>
    <n v="163.27054278396901"/>
    <m/>
  </r>
  <r>
    <x v="243"/>
    <x v="2"/>
    <x v="2"/>
    <x v="0"/>
    <n v="396.21903234145498"/>
    <n v="4"/>
    <n v="101.08612395601"/>
    <m/>
  </r>
  <r>
    <x v="308"/>
    <x v="2"/>
    <x v="3"/>
    <x v="1"/>
    <n v="361.58033127627402"/>
    <n v="6"/>
    <n v="86.782434457694293"/>
    <m/>
  </r>
  <r>
    <x v="138"/>
    <x v="3"/>
    <x v="4"/>
    <x v="3"/>
    <n v="54.796697128698902"/>
    <n v="18"/>
    <n v="3.4078931569562498"/>
    <m/>
  </r>
  <r>
    <x v="227"/>
    <x v="1"/>
    <x v="4"/>
    <x v="3"/>
    <n v="225.72962116949299"/>
    <n v="6"/>
    <n v="58.900126245544698"/>
    <m/>
  </r>
  <r>
    <x v="150"/>
    <x v="0"/>
    <x v="2"/>
    <x v="1"/>
    <n v="25.025113463958601"/>
    <n v="17"/>
    <n v="3.99178134863471"/>
    <m/>
  </r>
  <r>
    <x v="181"/>
    <x v="3"/>
    <x v="1"/>
    <x v="2"/>
    <n v="585.60293452619999"/>
    <n v="14"/>
    <n v="79.407043968688896"/>
    <m/>
  </r>
  <r>
    <x v="238"/>
    <x v="0"/>
    <x v="1"/>
    <x v="3"/>
    <n v="114.794703519129"/>
    <n v="11"/>
    <n v="21.422883136986702"/>
    <m/>
  </r>
  <r>
    <x v="247"/>
    <x v="1"/>
    <x v="1"/>
    <x v="1"/>
    <n v="874.28920008941896"/>
    <n v="19"/>
    <n v="63.681748381058902"/>
    <m/>
  </r>
  <r>
    <x v="273"/>
    <x v="1"/>
    <x v="4"/>
    <x v="1"/>
    <n v="527.91159049019302"/>
    <n v="2"/>
    <n v="126.25620035139499"/>
    <m/>
  </r>
  <r>
    <x v="229"/>
    <x v="3"/>
    <x v="1"/>
    <x v="3"/>
    <n v="702.69300996812103"/>
    <n v="3"/>
    <n v="137.45291482081799"/>
    <m/>
  </r>
  <r>
    <x v="38"/>
    <x v="1"/>
    <x v="0"/>
    <x v="2"/>
    <n v="416.74852092209102"/>
    <n v="11"/>
    <n v="40.277712768755102"/>
    <m/>
  </r>
  <r>
    <x v="194"/>
    <x v="4"/>
    <x v="3"/>
    <x v="1"/>
    <n v="564.97401091103802"/>
    <n v="6"/>
    <n v="54.835275767083203"/>
    <m/>
  </r>
  <r>
    <x v="102"/>
    <x v="2"/>
    <x v="4"/>
    <x v="0"/>
    <n v="943.23258519696401"/>
    <n v="14"/>
    <n v="90.608962245335206"/>
    <m/>
  </r>
  <r>
    <x v="89"/>
    <x v="3"/>
    <x v="2"/>
    <x v="2"/>
    <n v="91.906699227434004"/>
    <n v="19"/>
    <n v="5.9050602833670096"/>
    <m/>
  </r>
  <r>
    <x v="334"/>
    <x v="0"/>
    <x v="2"/>
    <x v="2"/>
    <n v="261.39839420445901"/>
    <n v="16"/>
    <n v="51.482312405630303"/>
    <m/>
  </r>
  <r>
    <x v="335"/>
    <x v="4"/>
    <x v="3"/>
    <x v="3"/>
    <n v="782.18844364143797"/>
    <n v="7"/>
    <n v="203.43708046828999"/>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EB7B50-B34B-40CA-B489-90B8AD9421BB}" name="PivotTable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F10" firstHeaderRow="1" firstDataRow="2"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6">
        <item x="1"/>
        <item x="2"/>
        <item x="0"/>
        <item x="4"/>
        <item x="3"/>
        <item t="default"/>
      </items>
    </pivotField>
    <pivotField showAll="0"/>
    <pivotField axis="axisCol" showAll="0">
      <items count="5">
        <item x="2"/>
        <item x="1"/>
        <item x="0"/>
        <item x="3"/>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6">
    <i>
      <x/>
    </i>
    <i>
      <x v="1"/>
    </i>
    <i>
      <x v="2"/>
    </i>
    <i>
      <x v="3"/>
    </i>
    <i>
      <x v="4"/>
    </i>
    <i t="grand">
      <x/>
    </i>
  </rowItems>
  <colFields count="1">
    <field x="3"/>
  </colFields>
  <colItems count="5">
    <i>
      <x/>
    </i>
    <i>
      <x v="1"/>
    </i>
    <i>
      <x v="2"/>
    </i>
    <i>
      <x v="3"/>
    </i>
    <i t="grand">
      <x/>
    </i>
  </colItems>
  <dataFields count="1">
    <dataField name="Sum of Sales" fld="4" baseField="0" baseItem="0"/>
  </dataFields>
  <chartFormats count="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2" format="8" series="1">
      <pivotArea type="data" outline="0" fieldPosition="0">
        <references count="2">
          <reference field="4294967294" count="1" selected="0">
            <x v="0"/>
          </reference>
          <reference field="3" count="1" selected="0">
            <x v="0"/>
          </reference>
        </references>
      </pivotArea>
    </chartFormat>
    <chartFormat chart="2" format="9" series="1">
      <pivotArea type="data" outline="0" fieldPosition="0">
        <references count="2">
          <reference field="4294967294" count="1" selected="0">
            <x v="0"/>
          </reference>
          <reference field="3" count="1" selected="0">
            <x v="1"/>
          </reference>
        </references>
      </pivotArea>
    </chartFormat>
    <chartFormat chart="2" format="10" series="1">
      <pivotArea type="data" outline="0" fieldPosition="0">
        <references count="2">
          <reference field="4294967294" count="1" selected="0">
            <x v="0"/>
          </reference>
          <reference field="3" count="1" selected="0">
            <x v="2"/>
          </reference>
        </references>
      </pivotArea>
    </chartFormat>
    <chartFormat chart="2" format="11"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131D83-8D75-4711-943B-E189CB1AD5FC}" name="PivotTable2"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C9" firstHeaderRow="0"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6">
        <item x="2"/>
        <item x="1"/>
        <item x="3"/>
        <item x="4"/>
        <item x="0"/>
        <item t="default"/>
      </items>
    </pivotField>
    <pivotField showAll="0"/>
    <pivotField dataField="1" showAll="0"/>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Fields count="1">
    <field x="-2"/>
  </colFields>
  <colItems count="2">
    <i>
      <x/>
    </i>
    <i i="1">
      <x v="1"/>
    </i>
  </colItems>
  <dataFields count="2">
    <dataField name="Sum of Profit" fld="6" baseField="0" baseItem="0"/>
    <dataField name="Sum of Sales"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4D41A4-E37A-400B-81AA-68340718DD71}" name="PivotTable4"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6" firstHeaderRow="1" firstDataRow="1" firstDataCol="1"/>
  <pivotFields count="9">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1"/>
        <item x="2"/>
        <item x="0"/>
        <item x="4"/>
        <item x="3"/>
        <item t="default"/>
      </items>
    </pivotField>
    <pivotField showAll="0"/>
    <pivotField showAll="0">
      <items count="5">
        <item x="2"/>
        <item x="1"/>
        <item x="0"/>
        <item x="3"/>
        <item t="default"/>
      </items>
    </pivotField>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8"/>
    <field x="0"/>
  </rowFields>
  <rowItems count="13">
    <i>
      <x v="1"/>
    </i>
    <i>
      <x v="2"/>
    </i>
    <i>
      <x v="3"/>
    </i>
    <i>
      <x v="4"/>
    </i>
    <i>
      <x v="5"/>
    </i>
    <i>
      <x v="6"/>
    </i>
    <i>
      <x v="7"/>
    </i>
    <i>
      <x v="8"/>
    </i>
    <i>
      <x v="9"/>
    </i>
    <i>
      <x v="10"/>
    </i>
    <i>
      <x v="11"/>
    </i>
    <i>
      <x v="12"/>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E706F41-0B70-4400-9F3E-784A405B4129}" sourceName="Product">
  <pivotTables>
    <pivotTable tabId="4" name="PivotTable1"/>
  </pivotTables>
  <data>
    <tabular pivotCacheId="1356497681">
      <items count="5">
        <i x="1" s="1"/>
        <i x="2" s="1"/>
        <i x="0"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01A61E1-39F6-4EDE-9424-EE858128DC00}" sourceName="Category">
  <pivotTables>
    <pivotTable tabId="5" name="PivotTable2"/>
  </pivotTables>
  <data>
    <tabular pivotCacheId="1356497681">
      <items count="5">
        <i x="2" s="1"/>
        <i x="1" s="1"/>
        <i x="3"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6CE3F431-F2E7-4775-9ACE-4735D29586FD}" sourceName="Product">
  <pivotTables>
    <pivotTable tabId="7" name="PivotTable4"/>
  </pivotTables>
  <data>
    <tabular pivotCacheId="1356497681">
      <items count="5">
        <i x="1" s="1"/>
        <i x="2" s="1"/>
        <i x="0"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344670D-B8CE-4362-A6BA-24F4F8832D75}" sourceName="Region">
  <pivotTables>
    <pivotTable tabId="7" name="PivotTable4"/>
  </pivotTables>
  <data>
    <tabular pivotCacheId="1356497681">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74303658-6B9C-49DA-A16F-349EC003BF84}"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B1ECE2-86AB-457F-A804-09A0E9F20D8F}" cache="Slicer_Category" caption="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A44CE7B7-F60B-4B4B-A443-069DED0048AC}" cache="Slicer_Product1" caption="Product" rowHeight="241300"/>
  <slicer name="Region" xr10:uid="{69889840-77A3-4198-ADC5-39B049369E55}" cache="Slicer_Region" caption="Region"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A0A2E62E-3B84-4312-AB47-DAD7A9A745F8}" cache="Slicer_Category" caption="Category" rowHeight="241300"/>
  <slicer name="Product 2" xr10:uid="{2273B4A7-AF22-40B7-8FD5-BAD605FD51A6}" cache="Slicer_Product1" caption="Product" rowHeight="241300"/>
  <slicer name="Region 1" xr10:uid="{12BF8C19-881B-4F88-8ED7-D9AB48601A3C}"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108DB5-CEE4-42FC-B0BD-635FE7C037EC}" name="Table1" displayName="Table1" ref="A1:H1001" totalsRowShown="0">
  <autoFilter ref="A1:H1001" xr:uid="{A4108DB5-CEE4-42FC-B0BD-635FE7C037EC}"/>
  <tableColumns count="8">
    <tableColumn id="1" xr3:uid="{3C0D2EA1-0170-4178-96D6-4DFDD60D40B9}" name="Date" dataDxfId="0"/>
    <tableColumn id="2" xr3:uid="{5CFAD5BF-5312-4146-BAD1-8846EA0D8C80}" name="Product"/>
    <tableColumn id="3" xr3:uid="{A3A61DBC-50B2-4557-B0D4-841BC022C1AD}" name="Category"/>
    <tableColumn id="4" xr3:uid="{CD387CE1-574F-4542-8E23-D38B3034960A}" name="Region"/>
    <tableColumn id="5" xr3:uid="{E6D7AD37-6397-40F1-8CEB-E6130CFE451C}" name="Sales"/>
    <tableColumn id="6" xr3:uid="{DC657394-4972-4348-86F7-D6803AC2FDFA}" name="Quantity"/>
    <tableColumn id="7" xr3:uid="{829472ED-E9C0-43E7-9727-CAC9BB20C47B}" name="Profit"/>
    <tableColumn id="8" xr3:uid="{6ABA5A0F-BA5E-449F-A50D-06FA9156136C}" name="% PER 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600DD-1E4B-43CD-8962-F352D3561E2F}">
  <dimension ref="A3:F10"/>
  <sheetViews>
    <sheetView workbookViewId="0">
      <selection activeCell="L18" sqref="L18"/>
    </sheetView>
  </sheetViews>
  <sheetFormatPr defaultRowHeight="14.25" x14ac:dyDescent="0.45"/>
  <cols>
    <col min="1" max="1" width="12.06640625" bestFit="1" customWidth="1"/>
    <col min="2" max="2" width="14.73046875" bestFit="1" customWidth="1"/>
    <col min="3" max="6" width="11.73046875" bestFit="1" customWidth="1"/>
  </cols>
  <sheetData>
    <row r="3" spans="1:6" x14ac:dyDescent="0.45">
      <c r="A3" s="3" t="s">
        <v>44</v>
      </c>
      <c r="B3" s="3" t="s">
        <v>43</v>
      </c>
    </row>
    <row r="4" spans="1:6" x14ac:dyDescent="0.45">
      <c r="A4" s="3" t="s">
        <v>41</v>
      </c>
      <c r="B4" t="s">
        <v>17</v>
      </c>
      <c r="C4" t="s">
        <v>11</v>
      </c>
      <c r="D4" t="s">
        <v>9</v>
      </c>
      <c r="E4" t="s">
        <v>20</v>
      </c>
      <c r="F4" t="s">
        <v>42</v>
      </c>
    </row>
    <row r="5" spans="1:6" x14ac:dyDescent="0.45">
      <c r="A5" s="4" t="s">
        <v>12</v>
      </c>
      <c r="B5" s="5">
        <v>25909.2382074536</v>
      </c>
      <c r="C5" s="5">
        <v>29139.762932281534</v>
      </c>
      <c r="D5" s="5">
        <v>31227.419645733607</v>
      </c>
      <c r="E5" s="5">
        <v>23458.220970984694</v>
      </c>
      <c r="F5" s="5">
        <v>109734.64175645343</v>
      </c>
    </row>
    <row r="6" spans="1:6" x14ac:dyDescent="0.45">
      <c r="A6" s="4" t="s">
        <v>13</v>
      </c>
      <c r="B6" s="5">
        <v>23816.329202192286</v>
      </c>
      <c r="C6" s="5">
        <v>24851.742664442449</v>
      </c>
      <c r="D6" s="5">
        <v>30169.553449072275</v>
      </c>
      <c r="E6" s="5">
        <v>24895.628185339439</v>
      </c>
      <c r="F6" s="5">
        <v>103733.25350104645</v>
      </c>
    </row>
    <row r="7" spans="1:6" x14ac:dyDescent="0.45">
      <c r="A7" s="4" t="s">
        <v>7</v>
      </c>
      <c r="B7" s="5">
        <v>26749.988422696832</v>
      </c>
      <c r="C7" s="5">
        <v>28003.660599837709</v>
      </c>
      <c r="D7" s="5">
        <v>22642.760726678149</v>
      </c>
      <c r="E7" s="5">
        <v>23275.656003690903</v>
      </c>
      <c r="F7" s="5">
        <v>100672.0657529036</v>
      </c>
    </row>
    <row r="8" spans="1:6" x14ac:dyDescent="0.45">
      <c r="A8" s="4" t="s">
        <v>18</v>
      </c>
      <c r="B8" s="5">
        <v>24695.264654642375</v>
      </c>
      <c r="C8" s="5">
        <v>27797.51447443604</v>
      </c>
      <c r="D8" s="5">
        <v>18707.268408505883</v>
      </c>
      <c r="E8" s="5">
        <v>26552.757841703562</v>
      </c>
      <c r="F8" s="5">
        <v>97752.805379287864</v>
      </c>
    </row>
    <row r="9" spans="1:6" x14ac:dyDescent="0.45">
      <c r="A9" s="4" t="s">
        <v>14</v>
      </c>
      <c r="B9" s="5">
        <v>29753.778369156153</v>
      </c>
      <c r="C9" s="5">
        <v>30682.857875864785</v>
      </c>
      <c r="D9" s="5">
        <v>23399.945576385966</v>
      </c>
      <c r="E9" s="5">
        <v>23579.627203217769</v>
      </c>
      <c r="F9" s="5">
        <v>107416.20902462467</v>
      </c>
    </row>
    <row r="10" spans="1:6" x14ac:dyDescent="0.45">
      <c r="A10" s="4" t="s">
        <v>42</v>
      </c>
      <c r="B10" s="5">
        <v>130924.59885614124</v>
      </c>
      <c r="C10" s="5">
        <v>140475.53854686252</v>
      </c>
      <c r="D10" s="5">
        <v>126146.94780637589</v>
      </c>
      <c r="E10" s="5">
        <v>121761.89020493635</v>
      </c>
      <c r="F10" s="5">
        <v>519308.975414316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5AA49-7997-4BDA-92DC-80F314C4295A}">
  <dimension ref="A3:C9"/>
  <sheetViews>
    <sheetView workbookViewId="0">
      <selection activeCell="Z60" sqref="Z60"/>
    </sheetView>
  </sheetViews>
  <sheetFormatPr defaultRowHeight="14.25" x14ac:dyDescent="0.45"/>
  <cols>
    <col min="1" max="1" width="12.06640625" bestFit="1" customWidth="1"/>
    <col min="2" max="3" width="11.73046875" bestFit="1" customWidth="1"/>
  </cols>
  <sheetData>
    <row r="3" spans="1:3" x14ac:dyDescent="0.45">
      <c r="A3" s="3" t="s">
        <v>41</v>
      </c>
      <c r="B3" t="s">
        <v>45</v>
      </c>
      <c r="C3" t="s">
        <v>44</v>
      </c>
    </row>
    <row r="4" spans="1:3" x14ac:dyDescent="0.45">
      <c r="A4" s="4" t="s">
        <v>15</v>
      </c>
      <c r="B4" s="5">
        <v>16558.092385568409</v>
      </c>
      <c r="C4" s="5">
        <v>94121.778264782784</v>
      </c>
    </row>
    <row r="5" spans="1:3" x14ac:dyDescent="0.45">
      <c r="A5" s="4" t="s">
        <v>10</v>
      </c>
      <c r="B5" s="5">
        <v>17584.436821654752</v>
      </c>
      <c r="C5" s="5">
        <v>98811.743894854124</v>
      </c>
    </row>
    <row r="6" spans="1:3" x14ac:dyDescent="0.45">
      <c r="A6" s="4" t="s">
        <v>16</v>
      </c>
      <c r="B6" s="5">
        <v>20578.699268034434</v>
      </c>
      <c r="C6" s="5">
        <v>118598.88106203086</v>
      </c>
    </row>
    <row r="7" spans="1:3" x14ac:dyDescent="0.45">
      <c r="A7" s="4" t="s">
        <v>19</v>
      </c>
      <c r="B7" s="5">
        <v>16367.616717206711</v>
      </c>
      <c r="C7" s="5">
        <v>97437.327702874507</v>
      </c>
    </row>
    <row r="8" spans="1:3" x14ac:dyDescent="0.45">
      <c r="A8" s="4" t="s">
        <v>8</v>
      </c>
      <c r="B8" s="5">
        <v>18963.374250133176</v>
      </c>
      <c r="C8" s="5">
        <v>110339.24448977369</v>
      </c>
    </row>
    <row r="9" spans="1:3" x14ac:dyDescent="0.45">
      <c r="A9" s="4" t="s">
        <v>42</v>
      </c>
      <c r="B9" s="5">
        <v>90052.219442597474</v>
      </c>
      <c r="C9" s="5">
        <v>519308.97541431594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95D8E-D346-4768-9BB3-15E1F2C55C15}">
  <dimension ref="A3:B16"/>
  <sheetViews>
    <sheetView workbookViewId="0">
      <selection activeCell="L2" sqref="L2"/>
    </sheetView>
  </sheetViews>
  <sheetFormatPr defaultRowHeight="14.25" x14ac:dyDescent="0.45"/>
  <cols>
    <col min="1" max="1" width="12.06640625" bestFit="1" customWidth="1"/>
    <col min="2" max="2" width="11.73046875" bestFit="1" customWidth="1"/>
  </cols>
  <sheetData>
    <row r="3" spans="1:2" x14ac:dyDescent="0.45">
      <c r="A3" s="3" t="s">
        <v>41</v>
      </c>
      <c r="B3" t="s">
        <v>44</v>
      </c>
    </row>
    <row r="4" spans="1:2" x14ac:dyDescent="0.45">
      <c r="A4" s="4" t="s">
        <v>46</v>
      </c>
      <c r="B4" s="5">
        <v>40460.592350616527</v>
      </c>
    </row>
    <row r="5" spans="1:2" x14ac:dyDescent="0.45">
      <c r="A5" s="4" t="s">
        <v>47</v>
      </c>
      <c r="B5" s="5">
        <v>48182.517809342768</v>
      </c>
    </row>
    <row r="6" spans="1:2" x14ac:dyDescent="0.45">
      <c r="A6" s="4" t="s">
        <v>48</v>
      </c>
      <c r="B6" s="5">
        <v>33350.957038133456</v>
      </c>
    </row>
    <row r="7" spans="1:2" x14ac:dyDescent="0.45">
      <c r="A7" s="4" t="s">
        <v>49</v>
      </c>
      <c r="B7" s="5">
        <v>43805.887491271911</v>
      </c>
    </row>
    <row r="8" spans="1:2" x14ac:dyDescent="0.45">
      <c r="A8" s="4" t="s">
        <v>50</v>
      </c>
      <c r="B8" s="5">
        <v>43487.880253052987</v>
      </c>
    </row>
    <row r="9" spans="1:2" x14ac:dyDescent="0.45">
      <c r="A9" s="4" t="s">
        <v>51</v>
      </c>
      <c r="B9" s="5">
        <v>39420.297799557076</v>
      </c>
    </row>
    <row r="10" spans="1:2" x14ac:dyDescent="0.45">
      <c r="A10" s="4" t="s">
        <v>52</v>
      </c>
      <c r="B10" s="5">
        <v>39681.503302673031</v>
      </c>
    </row>
    <row r="11" spans="1:2" x14ac:dyDescent="0.45">
      <c r="A11" s="4" t="s">
        <v>53</v>
      </c>
      <c r="B11" s="5">
        <v>57243.48283205941</v>
      </c>
    </row>
    <row r="12" spans="1:2" x14ac:dyDescent="0.45">
      <c r="A12" s="4" t="s">
        <v>54</v>
      </c>
      <c r="B12" s="5">
        <v>45547.924890610615</v>
      </c>
    </row>
    <row r="13" spans="1:2" x14ac:dyDescent="0.45">
      <c r="A13" s="4" t="s">
        <v>55</v>
      </c>
      <c r="B13" s="5">
        <v>43547.974016413762</v>
      </c>
    </row>
    <row r="14" spans="1:2" x14ac:dyDescent="0.45">
      <c r="A14" s="4" t="s">
        <v>56</v>
      </c>
      <c r="B14" s="5">
        <v>39392.745324938689</v>
      </c>
    </row>
    <row r="15" spans="1:2" x14ac:dyDescent="0.45">
      <c r="A15" s="4" t="s">
        <v>57</v>
      </c>
      <c r="B15" s="5">
        <v>45187.212305645866</v>
      </c>
    </row>
    <row r="16" spans="1:2" x14ac:dyDescent="0.45">
      <c r="A16" s="4" t="s">
        <v>42</v>
      </c>
      <c r="B16" s="5">
        <v>519308.97541431611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B20EA-784E-4049-AFA0-7EFA717D390A}">
  <dimension ref="A1:L1001"/>
  <sheetViews>
    <sheetView zoomScale="90" zoomScaleNormal="90" workbookViewId="0">
      <selection activeCell="L17" sqref="L17"/>
    </sheetView>
  </sheetViews>
  <sheetFormatPr defaultRowHeight="14.25" x14ac:dyDescent="0.45"/>
  <cols>
    <col min="1" max="1" width="13.796875" customWidth="1"/>
    <col min="2" max="2" width="9.46484375" customWidth="1"/>
    <col min="3" max="3" width="10.19921875" customWidth="1"/>
    <col min="6" max="6" width="12.86328125" customWidth="1"/>
    <col min="7" max="7" width="11.86328125" customWidth="1"/>
    <col min="8" max="8" width="19.53125" customWidth="1"/>
    <col min="12" max="12" width="10.3984375" bestFit="1" customWidth="1"/>
  </cols>
  <sheetData>
    <row r="1" spans="1:12" x14ac:dyDescent="0.45">
      <c r="A1" t="s">
        <v>0</v>
      </c>
      <c r="B1" t="s">
        <v>1</v>
      </c>
      <c r="C1" t="s">
        <v>2</v>
      </c>
      <c r="D1" t="s">
        <v>3</v>
      </c>
      <c r="E1" t="s">
        <v>4</v>
      </c>
      <c r="F1" t="s">
        <v>5</v>
      </c>
      <c r="G1" t="s">
        <v>6</v>
      </c>
      <c r="H1" s="2" t="s">
        <v>21</v>
      </c>
    </row>
    <row r="2" spans="1:12" x14ac:dyDescent="0.45">
      <c r="A2" s="1">
        <v>45029</v>
      </c>
      <c r="B2" t="s">
        <v>7</v>
      </c>
      <c r="C2" t="s">
        <v>8</v>
      </c>
      <c r="D2" t="s">
        <v>9</v>
      </c>
      <c r="E2">
        <v>662.52262682483104</v>
      </c>
      <c r="F2">
        <v>13</v>
      </c>
      <c r="G2">
        <v>157.651423994287</v>
      </c>
      <c r="J2" t="s">
        <v>22</v>
      </c>
      <c r="L2" t="s">
        <v>22</v>
      </c>
    </row>
    <row r="3" spans="1:12" x14ac:dyDescent="0.45">
      <c r="A3" s="1">
        <v>45275</v>
      </c>
      <c r="B3" t="s">
        <v>7</v>
      </c>
      <c r="C3" t="s">
        <v>10</v>
      </c>
      <c r="D3" t="s">
        <v>11</v>
      </c>
      <c r="E3">
        <v>117.804380841228</v>
      </c>
      <c r="F3">
        <v>5</v>
      </c>
      <c r="G3">
        <v>29.8029249040321</v>
      </c>
      <c r="J3">
        <f>SUM(E:E)</f>
        <v>519308.97541431634</v>
      </c>
      <c r="L3">
        <f>SUM(Table1[Sales])</f>
        <v>519308.97541431634</v>
      </c>
    </row>
    <row r="4" spans="1:12" x14ac:dyDescent="0.45">
      <c r="A4" s="1">
        <v>45197</v>
      </c>
      <c r="B4" t="s">
        <v>12</v>
      </c>
      <c r="C4" t="s">
        <v>10</v>
      </c>
      <c r="D4" t="s">
        <v>11</v>
      </c>
      <c r="E4">
        <v>640.17326028581999</v>
      </c>
      <c r="F4">
        <v>13</v>
      </c>
      <c r="G4">
        <v>183.36958058637001</v>
      </c>
    </row>
    <row r="5" spans="1:12" x14ac:dyDescent="0.45">
      <c r="A5" s="1">
        <v>45033</v>
      </c>
      <c r="B5" t="s">
        <v>13</v>
      </c>
      <c r="C5" t="s">
        <v>10</v>
      </c>
      <c r="D5" t="s">
        <v>11</v>
      </c>
      <c r="E5">
        <v>503.25364049427998</v>
      </c>
      <c r="F5">
        <v>6</v>
      </c>
      <c r="G5">
        <v>64.5321574565464</v>
      </c>
      <c r="J5" t="s">
        <v>23</v>
      </c>
      <c r="L5" t="s">
        <v>40</v>
      </c>
    </row>
    <row r="6" spans="1:12" x14ac:dyDescent="0.45">
      <c r="A6" s="1">
        <v>44998</v>
      </c>
      <c r="B6" t="s">
        <v>13</v>
      </c>
      <c r="C6" t="s">
        <v>10</v>
      </c>
      <c r="D6" t="s">
        <v>11</v>
      </c>
      <c r="E6">
        <v>412.60732929859699</v>
      </c>
      <c r="F6">
        <v>5</v>
      </c>
      <c r="G6">
        <v>109.18688031446</v>
      </c>
      <c r="J6" t="e" cm="1">
        <f t="array" ref="J6">AVERAGE(G:G/E:E)</f>
        <v>#VALUE!</v>
      </c>
      <c r="L6" cm="1">
        <f t="array" ref="L6">AVERAGE(Table1[Profit]/Table1[Sales])</f>
        <v>0.17386534284094318</v>
      </c>
    </row>
    <row r="7" spans="1:12" x14ac:dyDescent="0.45">
      <c r="A7" s="1">
        <v>45115</v>
      </c>
      <c r="B7" t="s">
        <v>14</v>
      </c>
      <c r="C7" t="s">
        <v>15</v>
      </c>
      <c r="D7" t="s">
        <v>11</v>
      </c>
      <c r="E7">
        <v>953.48982096710995</v>
      </c>
      <c r="F7">
        <v>9</v>
      </c>
      <c r="G7">
        <v>79.065021543631005</v>
      </c>
    </row>
    <row r="8" spans="1:12" x14ac:dyDescent="0.45">
      <c r="A8" s="1">
        <v>44947</v>
      </c>
      <c r="B8" t="s">
        <v>13</v>
      </c>
      <c r="C8" t="s">
        <v>16</v>
      </c>
      <c r="D8" t="s">
        <v>17</v>
      </c>
      <c r="E8">
        <v>527.31431956473205</v>
      </c>
      <c r="F8">
        <v>16</v>
      </c>
      <c r="G8">
        <v>119.31025742802299</v>
      </c>
      <c r="J8" t="s">
        <v>24</v>
      </c>
      <c r="L8" t="s">
        <v>24</v>
      </c>
    </row>
    <row r="9" spans="1:12" x14ac:dyDescent="0.45">
      <c r="A9" s="1">
        <v>45029</v>
      </c>
      <c r="B9" t="s">
        <v>18</v>
      </c>
      <c r="C9" t="s">
        <v>19</v>
      </c>
      <c r="D9" t="s">
        <v>20</v>
      </c>
      <c r="E9">
        <v>226.92630467523901</v>
      </c>
      <c r="F9">
        <v>2</v>
      </c>
      <c r="G9">
        <v>53.439881311245102</v>
      </c>
      <c r="J9">
        <f>MAX(E:E)</f>
        <v>999.54847953190301</v>
      </c>
      <c r="L9">
        <f>MAX(Table1[Sales])</f>
        <v>999.54847953190301</v>
      </c>
    </row>
    <row r="10" spans="1:12" x14ac:dyDescent="0.45">
      <c r="A10" s="1">
        <v>45048</v>
      </c>
      <c r="B10" t="s">
        <v>13</v>
      </c>
      <c r="C10" t="s">
        <v>15</v>
      </c>
      <c r="D10" t="s">
        <v>9</v>
      </c>
      <c r="E10">
        <v>464.373844583525</v>
      </c>
      <c r="F10">
        <v>1</v>
      </c>
      <c r="G10">
        <v>101.897928999242</v>
      </c>
    </row>
    <row r="11" spans="1:12" x14ac:dyDescent="0.45">
      <c r="A11" s="1">
        <v>45141</v>
      </c>
      <c r="B11" t="s">
        <v>14</v>
      </c>
      <c r="C11" t="s">
        <v>15</v>
      </c>
      <c r="D11" t="s">
        <v>17</v>
      </c>
      <c r="E11">
        <v>920.19353052694498</v>
      </c>
      <c r="F11">
        <v>8</v>
      </c>
      <c r="G11">
        <v>104.054273488392</v>
      </c>
      <c r="J11" t="s">
        <v>25</v>
      </c>
      <c r="L11" t="s">
        <v>39</v>
      </c>
    </row>
    <row r="12" spans="1:12" x14ac:dyDescent="0.45">
      <c r="A12" s="1">
        <v>45257</v>
      </c>
      <c r="B12" t="s">
        <v>13</v>
      </c>
      <c r="C12" t="s">
        <v>19</v>
      </c>
      <c r="D12" t="s">
        <v>20</v>
      </c>
      <c r="E12">
        <v>184.33451661728799</v>
      </c>
      <c r="F12">
        <v>19</v>
      </c>
      <c r="G12">
        <v>49.449722453635403</v>
      </c>
      <c r="J12">
        <f>MIN(E:E)</f>
        <v>10.4383536228358</v>
      </c>
      <c r="L12">
        <f>MIN(Table1[Sales])</f>
        <v>10.4383536228358</v>
      </c>
    </row>
    <row r="13" spans="1:12" x14ac:dyDescent="0.45">
      <c r="A13" s="1">
        <v>45014</v>
      </c>
      <c r="B13" t="s">
        <v>18</v>
      </c>
      <c r="C13" t="s">
        <v>19</v>
      </c>
      <c r="D13" t="s">
        <v>11</v>
      </c>
      <c r="E13">
        <v>221.81746830135401</v>
      </c>
      <c r="F13">
        <v>11</v>
      </c>
      <c r="G13">
        <v>20.454812626587199</v>
      </c>
    </row>
    <row r="14" spans="1:12" x14ac:dyDescent="0.45">
      <c r="A14" s="1">
        <v>45026</v>
      </c>
      <c r="B14" t="s">
        <v>12</v>
      </c>
      <c r="C14" t="s">
        <v>10</v>
      </c>
      <c r="D14" t="s">
        <v>20</v>
      </c>
      <c r="E14">
        <v>22.899272079512901</v>
      </c>
      <c r="F14">
        <v>12</v>
      </c>
      <c r="G14">
        <v>1.45201302496651</v>
      </c>
      <c r="J14" t="s">
        <v>26</v>
      </c>
      <c r="L14" t="s">
        <v>26</v>
      </c>
    </row>
    <row r="15" spans="1:12" x14ac:dyDescent="0.45">
      <c r="A15" s="1">
        <v>45286</v>
      </c>
      <c r="B15" t="s">
        <v>14</v>
      </c>
      <c r="C15" t="s">
        <v>15</v>
      </c>
      <c r="D15" t="s">
        <v>20</v>
      </c>
      <c r="E15">
        <v>24.048148901809501</v>
      </c>
      <c r="F15">
        <v>12</v>
      </c>
      <c r="G15">
        <v>5.5158336766081302</v>
      </c>
      <c r="J15">
        <f>LARGE(E:E,1)</f>
        <v>999.54847953190301</v>
      </c>
      <c r="L15" s="6">
        <f>LARGE(Table1[Sales],1)</f>
        <v>999.54847953190301</v>
      </c>
    </row>
    <row r="16" spans="1:12" x14ac:dyDescent="0.45">
      <c r="A16" s="1">
        <v>45078</v>
      </c>
      <c r="B16" t="s">
        <v>12</v>
      </c>
      <c r="C16" t="s">
        <v>8</v>
      </c>
      <c r="D16" t="s">
        <v>11</v>
      </c>
      <c r="E16">
        <v>831.09771068892701</v>
      </c>
      <c r="F16">
        <v>7</v>
      </c>
      <c r="G16">
        <v>140.346580138972</v>
      </c>
      <c r="J16">
        <f>LARGE(E:E,2)</f>
        <v>996.43431074226396</v>
      </c>
      <c r="L16" s="6">
        <f>LARGE(Table1[Sales],2)</f>
        <v>996.43431074226396</v>
      </c>
    </row>
    <row r="17" spans="1:12" x14ac:dyDescent="0.45">
      <c r="A17" s="1">
        <v>45057</v>
      </c>
      <c r="B17" t="s">
        <v>12</v>
      </c>
      <c r="C17" t="s">
        <v>19</v>
      </c>
      <c r="D17" t="s">
        <v>11</v>
      </c>
      <c r="E17">
        <v>734.80138077452602</v>
      </c>
      <c r="F17">
        <v>13</v>
      </c>
      <c r="G17">
        <v>192.71966840836399</v>
      </c>
      <c r="J17">
        <f>LARGE(E:E,3)</f>
        <v>996.29966365962798</v>
      </c>
      <c r="L17" s="6">
        <f>LARGE(Table1[Sales],1)</f>
        <v>999.54847953190301</v>
      </c>
    </row>
    <row r="18" spans="1:12" x14ac:dyDescent="0.45">
      <c r="A18" s="1">
        <v>45076</v>
      </c>
      <c r="B18" t="s">
        <v>12</v>
      </c>
      <c r="C18" t="s">
        <v>19</v>
      </c>
      <c r="D18" t="s">
        <v>11</v>
      </c>
      <c r="E18">
        <v>361.49064588743801</v>
      </c>
      <c r="F18">
        <v>8</v>
      </c>
      <c r="G18">
        <v>52.723152332508803</v>
      </c>
    </row>
    <row r="19" spans="1:12" x14ac:dyDescent="0.45">
      <c r="A19" s="1">
        <v>45235</v>
      </c>
      <c r="B19" t="s">
        <v>7</v>
      </c>
      <c r="C19" t="s">
        <v>16</v>
      </c>
      <c r="D19" t="s">
        <v>9</v>
      </c>
      <c r="E19">
        <v>701.32804565529705</v>
      </c>
      <c r="F19">
        <v>9</v>
      </c>
      <c r="G19">
        <v>64.571025683701393</v>
      </c>
      <c r="J19" t="s">
        <v>27</v>
      </c>
      <c r="L19" t="s">
        <v>27</v>
      </c>
    </row>
    <row r="20" spans="1:12" x14ac:dyDescent="0.45">
      <c r="A20" s="1">
        <v>45184</v>
      </c>
      <c r="B20" t="s">
        <v>7</v>
      </c>
      <c r="C20" t="s">
        <v>8</v>
      </c>
      <c r="D20" t="s">
        <v>11</v>
      </c>
      <c r="E20">
        <v>401.25386704687003</v>
      </c>
      <c r="F20">
        <v>7</v>
      </c>
      <c r="G20">
        <v>103.96910942476801</v>
      </c>
      <c r="J20">
        <f>SUMIF(D:D,"NORTH",E:E)</f>
        <v>140475.53854686249</v>
      </c>
      <c r="K20" t="s">
        <v>28</v>
      </c>
      <c r="L20">
        <f>SUMIF(Table1[Region],"NORTH",Table1[Sales])</f>
        <v>140475.53854686249</v>
      </c>
    </row>
    <row r="21" spans="1:12" x14ac:dyDescent="0.45">
      <c r="A21" s="1">
        <v>45270</v>
      </c>
      <c r="B21" t="s">
        <v>12</v>
      </c>
      <c r="C21" t="s">
        <v>8</v>
      </c>
      <c r="D21" t="s">
        <v>9</v>
      </c>
      <c r="E21">
        <v>953.36782803784899</v>
      </c>
      <c r="F21">
        <v>15</v>
      </c>
      <c r="G21">
        <v>178.49658722832999</v>
      </c>
      <c r="J21">
        <f>SUMIF(D:D,"SOUTH",E:E)</f>
        <v>126146.94780637576</v>
      </c>
      <c r="K21" t="s">
        <v>29</v>
      </c>
      <c r="L21">
        <f>SUMIF(Table1[Region],"SOUTH",Table1[Sales])</f>
        <v>126146.94780637576</v>
      </c>
    </row>
    <row r="22" spans="1:12" x14ac:dyDescent="0.45">
      <c r="A22" s="1">
        <v>45220</v>
      </c>
      <c r="B22" t="s">
        <v>14</v>
      </c>
      <c r="C22" t="s">
        <v>19</v>
      </c>
      <c r="D22" t="s">
        <v>11</v>
      </c>
      <c r="E22">
        <v>967.38215461177401</v>
      </c>
      <c r="F22">
        <v>2</v>
      </c>
      <c r="G22">
        <v>94.125266052104493</v>
      </c>
      <c r="J22">
        <f>SUMIF(D:D,"EAST",E:E)</f>
        <v>130924.59885614131</v>
      </c>
      <c r="K22" t="s">
        <v>30</v>
      </c>
      <c r="L22">
        <f>SUMIF(Table1[Region],"EAST",Table1[Sales])</f>
        <v>130924.59885614131</v>
      </c>
    </row>
    <row r="23" spans="1:12" x14ac:dyDescent="0.45">
      <c r="A23" s="1">
        <v>45118</v>
      </c>
      <c r="B23" t="s">
        <v>18</v>
      </c>
      <c r="C23" t="s">
        <v>10</v>
      </c>
      <c r="D23" t="s">
        <v>9</v>
      </c>
      <c r="E23">
        <v>398.865838051249</v>
      </c>
      <c r="F23">
        <v>12</v>
      </c>
      <c r="G23">
        <v>91.777433731285697</v>
      </c>
      <c r="J23">
        <f>SUMIF(D:D,"WEST",E:E)</f>
        <v>121761.89020493641</v>
      </c>
      <c r="K23" t="s">
        <v>31</v>
      </c>
      <c r="L23">
        <f>SUMIF(Table1[Region],"WEST",Table1[Sales])</f>
        <v>121761.89020493641</v>
      </c>
    </row>
    <row r="24" spans="1:12" x14ac:dyDescent="0.45">
      <c r="A24" s="1">
        <v>45203</v>
      </c>
      <c r="B24" t="s">
        <v>18</v>
      </c>
      <c r="C24" t="s">
        <v>16</v>
      </c>
      <c r="D24" t="s">
        <v>20</v>
      </c>
      <c r="E24">
        <v>855.67968727745904</v>
      </c>
      <c r="F24">
        <v>1</v>
      </c>
      <c r="G24">
        <v>152.12137395035799</v>
      </c>
    </row>
    <row r="25" spans="1:12" x14ac:dyDescent="0.45">
      <c r="A25" s="1">
        <v>45087</v>
      </c>
      <c r="B25" t="s">
        <v>13</v>
      </c>
      <c r="C25" t="s">
        <v>8</v>
      </c>
      <c r="D25" t="s">
        <v>17</v>
      </c>
      <c r="E25">
        <v>775.35815128049103</v>
      </c>
      <c r="F25">
        <v>8</v>
      </c>
      <c r="G25">
        <v>155.907656740188</v>
      </c>
      <c r="J25" t="s">
        <v>32</v>
      </c>
      <c r="L25" t="s">
        <v>32</v>
      </c>
    </row>
    <row r="26" spans="1:12" x14ac:dyDescent="0.45">
      <c r="A26" s="1">
        <v>45240</v>
      </c>
      <c r="B26" t="s">
        <v>14</v>
      </c>
      <c r="C26" t="s">
        <v>19</v>
      </c>
      <c r="D26" t="s">
        <v>20</v>
      </c>
      <c r="E26">
        <v>316.89993780007097</v>
      </c>
      <c r="F26">
        <v>5</v>
      </c>
      <c r="G26">
        <v>52.359660567459002</v>
      </c>
      <c r="J26">
        <f>SUMIF(C:C,"TOYS",E:E)</f>
        <v>110339.24448977369</v>
      </c>
      <c r="K26" t="s">
        <v>33</v>
      </c>
      <c r="L26">
        <f>SUMIF(Table1[Category],"TOYS",Table1[Sales])</f>
        <v>110339.24448977369</v>
      </c>
    </row>
    <row r="27" spans="1:12" x14ac:dyDescent="0.45">
      <c r="A27" s="1">
        <v>44948</v>
      </c>
      <c r="B27" t="s">
        <v>7</v>
      </c>
      <c r="C27" t="s">
        <v>8</v>
      </c>
      <c r="D27" t="s">
        <v>20</v>
      </c>
      <c r="E27">
        <v>239.71943061209399</v>
      </c>
      <c r="F27">
        <v>15</v>
      </c>
      <c r="G27">
        <v>61.6503829665998</v>
      </c>
      <c r="J27">
        <f>SUMIF(C:C,"CLOTHING",E:E)</f>
        <v>94121.778264782784</v>
      </c>
      <c r="K27" t="s">
        <v>34</v>
      </c>
      <c r="L27">
        <f>SUMIF(Table1[Category],"CLOTHING",Table1[Sales])</f>
        <v>94121.778264782784</v>
      </c>
    </row>
    <row r="28" spans="1:12" x14ac:dyDescent="0.45">
      <c r="A28" s="1">
        <v>45179</v>
      </c>
      <c r="B28" t="s">
        <v>12</v>
      </c>
      <c r="C28" t="s">
        <v>16</v>
      </c>
      <c r="D28" t="s">
        <v>11</v>
      </c>
      <c r="E28">
        <v>463.65230388890501</v>
      </c>
      <c r="F28">
        <v>1</v>
      </c>
      <c r="G28">
        <v>119.339781281141</v>
      </c>
      <c r="J28">
        <f>SUMIF(C:C,"FURNITURE",E:E)</f>
        <v>97437.327702874507</v>
      </c>
      <c r="K28" t="s">
        <v>35</v>
      </c>
      <c r="L28">
        <f>SUMIF(Table1[Category],"FURNITURE",Table1[Sales])</f>
        <v>97437.327702874507</v>
      </c>
    </row>
    <row r="29" spans="1:12" x14ac:dyDescent="0.45">
      <c r="A29" s="1">
        <v>45162</v>
      </c>
      <c r="B29" t="s">
        <v>13</v>
      </c>
      <c r="C29" t="s">
        <v>16</v>
      </c>
      <c r="D29" t="s">
        <v>9</v>
      </c>
      <c r="E29">
        <v>783.535352208262</v>
      </c>
      <c r="F29">
        <v>1</v>
      </c>
      <c r="G29">
        <v>178.13457270060599</v>
      </c>
      <c r="J29">
        <f>SUMIF(C:C,"FOOD",E:E)</f>
        <v>118598.88106203086</v>
      </c>
      <c r="K29" t="s">
        <v>36</v>
      </c>
      <c r="L29">
        <f>SUMIF(Table1[Category],"FOOD",Table1[Sales])</f>
        <v>118598.88106203086</v>
      </c>
    </row>
    <row r="30" spans="1:12" x14ac:dyDescent="0.45">
      <c r="A30" s="1">
        <v>45271</v>
      </c>
      <c r="B30" t="s">
        <v>18</v>
      </c>
      <c r="C30" t="s">
        <v>15</v>
      </c>
      <c r="D30" t="s">
        <v>17</v>
      </c>
      <c r="E30">
        <v>960.56610688145702</v>
      </c>
      <c r="F30">
        <v>10</v>
      </c>
      <c r="G30">
        <v>73.339553030488602</v>
      </c>
      <c r="J30">
        <f>SUMIF(C:C,"ELECTRONICS",E:E)</f>
        <v>98811.743894854124</v>
      </c>
      <c r="K30" t="s">
        <v>37</v>
      </c>
      <c r="L30">
        <f>SUMIF(Table1[Category],"ELECTRONICS",Table1[Sales])</f>
        <v>98811.743894854124</v>
      </c>
    </row>
    <row r="31" spans="1:12" x14ac:dyDescent="0.45">
      <c r="A31" s="1">
        <v>44975</v>
      </c>
      <c r="B31" t="s">
        <v>7</v>
      </c>
      <c r="C31" t="s">
        <v>19</v>
      </c>
      <c r="D31" t="s">
        <v>11</v>
      </c>
      <c r="E31">
        <v>765.943278177906</v>
      </c>
      <c r="F31">
        <v>10</v>
      </c>
      <c r="G31">
        <v>198.92578313364501</v>
      </c>
    </row>
    <row r="32" spans="1:12" x14ac:dyDescent="0.45">
      <c r="A32" s="1">
        <v>44985</v>
      </c>
      <c r="B32" t="s">
        <v>7</v>
      </c>
      <c r="C32" t="s">
        <v>16</v>
      </c>
      <c r="D32" t="s">
        <v>11</v>
      </c>
      <c r="E32">
        <v>856.65491516818599</v>
      </c>
      <c r="F32">
        <v>15</v>
      </c>
      <c r="G32">
        <v>186.53938773720199</v>
      </c>
    </row>
    <row r="33" spans="1:12" x14ac:dyDescent="0.45">
      <c r="A33" s="1">
        <v>45096</v>
      </c>
      <c r="B33" t="s">
        <v>12</v>
      </c>
      <c r="C33" t="s">
        <v>15</v>
      </c>
      <c r="D33" t="s">
        <v>11</v>
      </c>
      <c r="E33">
        <v>607.03366310881097</v>
      </c>
      <c r="F33">
        <v>17</v>
      </c>
      <c r="G33">
        <v>136.130966346679</v>
      </c>
      <c r="J33" t="s">
        <v>38</v>
      </c>
      <c r="L33" t="s">
        <v>38</v>
      </c>
    </row>
    <row r="34" spans="1:12" x14ac:dyDescent="0.45">
      <c r="A34" s="1">
        <v>45114</v>
      </c>
      <c r="B34" t="s">
        <v>18</v>
      </c>
      <c r="C34" t="s">
        <v>15</v>
      </c>
      <c r="D34" t="s">
        <v>20</v>
      </c>
      <c r="E34">
        <v>837.05375253370403</v>
      </c>
      <c r="F34">
        <v>6</v>
      </c>
      <c r="G34">
        <v>117.81172479303601</v>
      </c>
      <c r="J34">
        <f>AVERAGE(E2:E4)</f>
        <v>473.50008931729298</v>
      </c>
      <c r="L34">
        <f>AVERAGE(E2:E4)</f>
        <v>473.50008931729298</v>
      </c>
    </row>
    <row r="35" spans="1:12" x14ac:dyDescent="0.45">
      <c r="A35" s="1">
        <v>45197</v>
      </c>
      <c r="B35" t="s">
        <v>14</v>
      </c>
      <c r="C35" t="s">
        <v>8</v>
      </c>
      <c r="D35" t="s">
        <v>9</v>
      </c>
      <c r="E35">
        <v>786.57664942338295</v>
      </c>
      <c r="F35">
        <v>3</v>
      </c>
      <c r="G35">
        <v>212.23402426828301</v>
      </c>
    </row>
    <row r="36" spans="1:12" x14ac:dyDescent="0.45">
      <c r="A36" s="1">
        <v>45116</v>
      </c>
      <c r="B36" t="s">
        <v>7</v>
      </c>
      <c r="C36" t="s">
        <v>8</v>
      </c>
      <c r="D36" t="s">
        <v>9</v>
      </c>
      <c r="E36">
        <v>383.21568650701698</v>
      </c>
      <c r="F36">
        <v>13</v>
      </c>
      <c r="G36">
        <v>88.654228264524505</v>
      </c>
    </row>
    <row r="37" spans="1:12" x14ac:dyDescent="0.45">
      <c r="A37" s="1">
        <v>45101</v>
      </c>
      <c r="B37" t="s">
        <v>12</v>
      </c>
      <c r="C37" t="s">
        <v>15</v>
      </c>
      <c r="D37" t="s">
        <v>17</v>
      </c>
      <c r="E37">
        <v>556.47039909951297</v>
      </c>
      <c r="F37">
        <v>16</v>
      </c>
      <c r="G37">
        <v>43.486835416051001</v>
      </c>
    </row>
    <row r="38" spans="1:12" x14ac:dyDescent="0.45">
      <c r="A38" s="1">
        <v>44977</v>
      </c>
      <c r="B38" t="s">
        <v>14</v>
      </c>
      <c r="C38" t="s">
        <v>8</v>
      </c>
      <c r="D38" t="s">
        <v>9</v>
      </c>
      <c r="E38">
        <v>806.70559076979703</v>
      </c>
      <c r="F38">
        <v>8</v>
      </c>
      <c r="G38">
        <v>122.574484575632</v>
      </c>
    </row>
    <row r="39" spans="1:12" x14ac:dyDescent="0.45">
      <c r="A39" s="1">
        <v>45290</v>
      </c>
      <c r="B39" t="s">
        <v>18</v>
      </c>
      <c r="C39" t="s">
        <v>16</v>
      </c>
      <c r="D39" t="s">
        <v>9</v>
      </c>
      <c r="E39">
        <v>55.596166848056797</v>
      </c>
      <c r="F39">
        <v>15</v>
      </c>
      <c r="G39">
        <v>15.099645965997</v>
      </c>
    </row>
    <row r="40" spans="1:12" x14ac:dyDescent="0.45">
      <c r="A40" s="1">
        <v>44981</v>
      </c>
      <c r="B40" t="s">
        <v>7</v>
      </c>
      <c r="C40" t="s">
        <v>10</v>
      </c>
      <c r="D40" t="s">
        <v>11</v>
      </c>
      <c r="E40">
        <v>809.99848953227104</v>
      </c>
      <c r="F40">
        <v>17</v>
      </c>
      <c r="G40">
        <v>50.057238748059099</v>
      </c>
    </row>
    <row r="41" spans="1:12" x14ac:dyDescent="0.45">
      <c r="A41" s="1">
        <v>45170</v>
      </c>
      <c r="B41" t="s">
        <v>14</v>
      </c>
      <c r="C41" t="s">
        <v>16</v>
      </c>
      <c r="D41" t="s">
        <v>11</v>
      </c>
      <c r="E41">
        <v>186.109242808533</v>
      </c>
      <c r="F41">
        <v>17</v>
      </c>
      <c r="G41">
        <v>54.037591916707001</v>
      </c>
    </row>
    <row r="42" spans="1:12" x14ac:dyDescent="0.45">
      <c r="A42" s="1">
        <v>45246</v>
      </c>
      <c r="B42" t="s">
        <v>14</v>
      </c>
      <c r="C42" t="s">
        <v>15</v>
      </c>
      <c r="D42" t="s">
        <v>20</v>
      </c>
      <c r="E42">
        <v>519.53678095022406</v>
      </c>
      <c r="F42">
        <v>13</v>
      </c>
      <c r="G42">
        <v>114.189322669169</v>
      </c>
    </row>
    <row r="43" spans="1:12" x14ac:dyDescent="0.45">
      <c r="A43" s="1">
        <v>45057</v>
      </c>
      <c r="B43" t="s">
        <v>14</v>
      </c>
      <c r="C43" t="s">
        <v>15</v>
      </c>
      <c r="D43" t="s">
        <v>11</v>
      </c>
      <c r="E43">
        <v>810.19268516037801</v>
      </c>
      <c r="F43">
        <v>17</v>
      </c>
      <c r="G43">
        <v>168.39368392617999</v>
      </c>
    </row>
    <row r="44" spans="1:12" x14ac:dyDescent="0.45">
      <c r="A44" s="1">
        <v>45233</v>
      </c>
      <c r="B44" t="s">
        <v>7</v>
      </c>
      <c r="C44" t="s">
        <v>16</v>
      </c>
      <c r="D44" t="s">
        <v>11</v>
      </c>
      <c r="E44">
        <v>261.28286737512701</v>
      </c>
      <c r="F44">
        <v>6</v>
      </c>
      <c r="G44">
        <v>30.737267951272599</v>
      </c>
    </row>
    <row r="45" spans="1:12" x14ac:dyDescent="0.45">
      <c r="A45" s="1">
        <v>45061</v>
      </c>
      <c r="B45" t="s">
        <v>7</v>
      </c>
      <c r="C45" t="s">
        <v>8</v>
      </c>
      <c r="D45" t="s">
        <v>11</v>
      </c>
      <c r="E45">
        <v>253.34936491309099</v>
      </c>
      <c r="F45">
        <v>17</v>
      </c>
      <c r="G45">
        <v>28.425278663820201</v>
      </c>
    </row>
    <row r="46" spans="1:12" x14ac:dyDescent="0.45">
      <c r="A46" s="1">
        <v>44947</v>
      </c>
      <c r="B46" t="s">
        <v>13</v>
      </c>
      <c r="C46" t="s">
        <v>8</v>
      </c>
      <c r="D46" t="s">
        <v>11</v>
      </c>
      <c r="E46">
        <v>408.73675447762901</v>
      </c>
      <c r="F46">
        <v>16</v>
      </c>
      <c r="G46">
        <v>116.700292514567</v>
      </c>
    </row>
    <row r="47" spans="1:12" x14ac:dyDescent="0.45">
      <c r="A47" s="1">
        <v>45255</v>
      </c>
      <c r="B47" t="s">
        <v>18</v>
      </c>
      <c r="C47" t="s">
        <v>15</v>
      </c>
      <c r="D47" t="s">
        <v>20</v>
      </c>
      <c r="E47">
        <v>895.69636960185801</v>
      </c>
      <c r="F47">
        <v>14</v>
      </c>
      <c r="G47">
        <v>111.575207082527</v>
      </c>
    </row>
    <row r="48" spans="1:12" x14ac:dyDescent="0.45">
      <c r="A48" s="1">
        <v>45093</v>
      </c>
      <c r="B48" t="s">
        <v>12</v>
      </c>
      <c r="C48" t="s">
        <v>19</v>
      </c>
      <c r="D48" t="s">
        <v>11</v>
      </c>
      <c r="E48">
        <v>10.4383536228358</v>
      </c>
      <c r="F48">
        <v>13</v>
      </c>
      <c r="G48">
        <v>2.5456673120255702</v>
      </c>
    </row>
    <row r="49" spans="1:7" x14ac:dyDescent="0.45">
      <c r="A49" s="1">
        <v>45200</v>
      </c>
      <c r="B49" t="s">
        <v>14</v>
      </c>
      <c r="C49" t="s">
        <v>8</v>
      </c>
      <c r="D49" t="s">
        <v>17</v>
      </c>
      <c r="E49">
        <v>902.36926567551495</v>
      </c>
      <c r="F49">
        <v>6</v>
      </c>
      <c r="G49">
        <v>133.803720376065</v>
      </c>
    </row>
    <row r="50" spans="1:7" x14ac:dyDescent="0.45">
      <c r="A50" s="1">
        <v>45015</v>
      </c>
      <c r="B50" t="s">
        <v>13</v>
      </c>
      <c r="C50" t="s">
        <v>16</v>
      </c>
      <c r="D50" t="s">
        <v>17</v>
      </c>
      <c r="E50">
        <v>162.268954395191</v>
      </c>
      <c r="F50">
        <v>3</v>
      </c>
      <c r="G50">
        <v>13.762600835136499</v>
      </c>
    </row>
    <row r="51" spans="1:7" x14ac:dyDescent="0.45">
      <c r="A51" s="1">
        <v>45242</v>
      </c>
      <c r="B51" t="s">
        <v>12</v>
      </c>
      <c r="C51" t="s">
        <v>8</v>
      </c>
      <c r="D51" t="s">
        <v>17</v>
      </c>
      <c r="E51">
        <v>990.18551230680703</v>
      </c>
      <c r="F51">
        <v>14</v>
      </c>
      <c r="G51">
        <v>52.161808749840098</v>
      </c>
    </row>
    <row r="52" spans="1:7" x14ac:dyDescent="0.45">
      <c r="A52" s="1">
        <v>44940</v>
      </c>
      <c r="B52" t="s">
        <v>13</v>
      </c>
      <c r="C52" t="s">
        <v>16</v>
      </c>
      <c r="D52" t="s">
        <v>17</v>
      </c>
      <c r="E52">
        <v>955.29852310808303</v>
      </c>
      <c r="F52">
        <v>14</v>
      </c>
      <c r="G52">
        <v>177.74698371575599</v>
      </c>
    </row>
    <row r="53" spans="1:7" x14ac:dyDescent="0.45">
      <c r="A53" s="1">
        <v>45168</v>
      </c>
      <c r="B53" t="s">
        <v>7</v>
      </c>
      <c r="C53" t="s">
        <v>15</v>
      </c>
      <c r="D53" t="s">
        <v>11</v>
      </c>
      <c r="E53">
        <v>499.72843769537002</v>
      </c>
      <c r="F53">
        <v>15</v>
      </c>
      <c r="G53">
        <v>146.89252801719101</v>
      </c>
    </row>
    <row r="54" spans="1:7" x14ac:dyDescent="0.45">
      <c r="A54" s="1">
        <v>45191</v>
      </c>
      <c r="B54" t="s">
        <v>14</v>
      </c>
      <c r="C54" t="s">
        <v>8</v>
      </c>
      <c r="D54" t="s">
        <v>17</v>
      </c>
      <c r="E54">
        <v>517.59304533450097</v>
      </c>
      <c r="F54">
        <v>8</v>
      </c>
      <c r="G54">
        <v>73.645233940948302</v>
      </c>
    </row>
    <row r="55" spans="1:7" x14ac:dyDescent="0.45">
      <c r="A55" s="1">
        <v>45272</v>
      </c>
      <c r="B55" t="s">
        <v>12</v>
      </c>
      <c r="C55" t="s">
        <v>16</v>
      </c>
      <c r="D55" t="s">
        <v>11</v>
      </c>
      <c r="E55">
        <v>486.73384687309499</v>
      </c>
      <c r="F55">
        <v>15</v>
      </c>
      <c r="G55">
        <v>67.801092043158306</v>
      </c>
    </row>
    <row r="56" spans="1:7" x14ac:dyDescent="0.45">
      <c r="A56" s="1">
        <v>44979</v>
      </c>
      <c r="B56" t="s">
        <v>12</v>
      </c>
      <c r="C56" t="s">
        <v>15</v>
      </c>
      <c r="D56" t="s">
        <v>20</v>
      </c>
      <c r="E56">
        <v>639.08920920292701</v>
      </c>
      <c r="F56">
        <v>13</v>
      </c>
      <c r="G56">
        <v>86.930770446335302</v>
      </c>
    </row>
    <row r="57" spans="1:7" x14ac:dyDescent="0.45">
      <c r="A57" s="1">
        <v>45266</v>
      </c>
      <c r="B57" t="s">
        <v>12</v>
      </c>
      <c r="C57" t="s">
        <v>19</v>
      </c>
      <c r="D57" t="s">
        <v>17</v>
      </c>
      <c r="E57">
        <v>99.814485212581701</v>
      </c>
      <c r="F57">
        <v>17</v>
      </c>
      <c r="G57">
        <v>17.980178048420601</v>
      </c>
    </row>
    <row r="58" spans="1:7" x14ac:dyDescent="0.45">
      <c r="A58" s="1">
        <v>45018</v>
      </c>
      <c r="B58" t="s">
        <v>12</v>
      </c>
      <c r="C58" t="s">
        <v>16</v>
      </c>
      <c r="D58" t="s">
        <v>9</v>
      </c>
      <c r="E58">
        <v>42.291768858150803</v>
      </c>
      <c r="F58">
        <v>3</v>
      </c>
      <c r="G58">
        <v>6.7737127913285899</v>
      </c>
    </row>
    <row r="59" spans="1:7" x14ac:dyDescent="0.45">
      <c r="A59" s="1">
        <v>45190</v>
      </c>
      <c r="B59" t="s">
        <v>12</v>
      </c>
      <c r="C59" t="s">
        <v>19</v>
      </c>
      <c r="D59" t="s">
        <v>17</v>
      </c>
      <c r="E59">
        <v>67.1258991317398</v>
      </c>
      <c r="F59">
        <v>6</v>
      </c>
      <c r="G59">
        <v>18.122560076142001</v>
      </c>
    </row>
    <row r="60" spans="1:7" x14ac:dyDescent="0.45">
      <c r="A60" s="1">
        <v>44961</v>
      </c>
      <c r="B60" t="s">
        <v>13</v>
      </c>
      <c r="C60" t="s">
        <v>19</v>
      </c>
      <c r="D60" t="s">
        <v>17</v>
      </c>
      <c r="E60">
        <v>449.921695749099</v>
      </c>
      <c r="F60">
        <v>5</v>
      </c>
      <c r="G60">
        <v>79.357277749619897</v>
      </c>
    </row>
    <row r="61" spans="1:7" x14ac:dyDescent="0.45">
      <c r="A61" s="1">
        <v>45132</v>
      </c>
      <c r="B61" t="s">
        <v>14</v>
      </c>
      <c r="C61" t="s">
        <v>10</v>
      </c>
      <c r="D61" t="s">
        <v>11</v>
      </c>
      <c r="E61">
        <v>282.79245982728798</v>
      </c>
      <c r="F61">
        <v>17</v>
      </c>
      <c r="G61">
        <v>50.0371450058473</v>
      </c>
    </row>
    <row r="62" spans="1:7" x14ac:dyDescent="0.45">
      <c r="A62" s="1">
        <v>45007</v>
      </c>
      <c r="B62" t="s">
        <v>7</v>
      </c>
      <c r="C62" t="s">
        <v>8</v>
      </c>
      <c r="D62" t="s">
        <v>17</v>
      </c>
      <c r="E62">
        <v>625.81916674728302</v>
      </c>
      <c r="F62">
        <v>2</v>
      </c>
      <c r="G62">
        <v>52.939857364741997</v>
      </c>
    </row>
    <row r="63" spans="1:7" x14ac:dyDescent="0.45">
      <c r="A63" s="1">
        <v>44976</v>
      </c>
      <c r="B63" t="s">
        <v>7</v>
      </c>
      <c r="C63" t="s">
        <v>16</v>
      </c>
      <c r="D63" t="s">
        <v>9</v>
      </c>
      <c r="E63">
        <v>992.51786648103098</v>
      </c>
      <c r="F63">
        <v>15</v>
      </c>
      <c r="G63">
        <v>293.47253143678199</v>
      </c>
    </row>
    <row r="64" spans="1:7" x14ac:dyDescent="0.45">
      <c r="A64" s="1">
        <v>45286</v>
      </c>
      <c r="B64" t="s">
        <v>7</v>
      </c>
      <c r="C64" t="s">
        <v>19</v>
      </c>
      <c r="D64" t="s">
        <v>11</v>
      </c>
      <c r="E64">
        <v>392.459941345701</v>
      </c>
      <c r="F64">
        <v>5</v>
      </c>
      <c r="G64">
        <v>44.149083589384098</v>
      </c>
    </row>
    <row r="65" spans="1:7" x14ac:dyDescent="0.45">
      <c r="A65" s="1">
        <v>44928</v>
      </c>
      <c r="B65" t="s">
        <v>7</v>
      </c>
      <c r="C65" t="s">
        <v>10</v>
      </c>
      <c r="D65" t="s">
        <v>11</v>
      </c>
      <c r="E65">
        <v>578.10284156346802</v>
      </c>
      <c r="F65">
        <v>6</v>
      </c>
      <c r="G65">
        <v>39.508136044935902</v>
      </c>
    </row>
    <row r="66" spans="1:7" x14ac:dyDescent="0.45">
      <c r="A66" s="1">
        <v>44980</v>
      </c>
      <c r="B66" t="s">
        <v>13</v>
      </c>
      <c r="C66" t="s">
        <v>15</v>
      </c>
      <c r="D66" t="s">
        <v>20</v>
      </c>
      <c r="E66">
        <v>421.44785694826197</v>
      </c>
      <c r="F66">
        <v>6</v>
      </c>
      <c r="G66">
        <v>90.942784215883194</v>
      </c>
    </row>
    <row r="67" spans="1:7" x14ac:dyDescent="0.45">
      <c r="A67" s="1">
        <v>45032</v>
      </c>
      <c r="B67" t="s">
        <v>18</v>
      </c>
      <c r="C67" t="s">
        <v>16</v>
      </c>
      <c r="D67" t="s">
        <v>20</v>
      </c>
      <c r="E67">
        <v>848.79895104464003</v>
      </c>
      <c r="F67">
        <v>18</v>
      </c>
      <c r="G67">
        <v>168.77653517133399</v>
      </c>
    </row>
    <row r="68" spans="1:7" x14ac:dyDescent="0.45">
      <c r="A68" s="1">
        <v>45186</v>
      </c>
      <c r="B68" t="s">
        <v>14</v>
      </c>
      <c r="C68" t="s">
        <v>19</v>
      </c>
      <c r="D68" t="s">
        <v>17</v>
      </c>
      <c r="E68">
        <v>903.21403942761503</v>
      </c>
      <c r="F68">
        <v>18</v>
      </c>
      <c r="G68">
        <v>138.90204774478201</v>
      </c>
    </row>
    <row r="69" spans="1:7" x14ac:dyDescent="0.45">
      <c r="A69" s="1">
        <v>45236</v>
      </c>
      <c r="B69" t="s">
        <v>12</v>
      </c>
      <c r="C69" t="s">
        <v>8</v>
      </c>
      <c r="D69" t="s">
        <v>20</v>
      </c>
      <c r="E69">
        <v>878.58205608320702</v>
      </c>
      <c r="F69">
        <v>4</v>
      </c>
      <c r="G69">
        <v>136.66173303047199</v>
      </c>
    </row>
    <row r="70" spans="1:7" x14ac:dyDescent="0.45">
      <c r="A70" s="1">
        <v>45117</v>
      </c>
      <c r="B70" t="s">
        <v>18</v>
      </c>
      <c r="C70" t="s">
        <v>10</v>
      </c>
      <c r="D70" t="s">
        <v>20</v>
      </c>
      <c r="E70">
        <v>974.62851629246495</v>
      </c>
      <c r="F70">
        <v>17</v>
      </c>
      <c r="G70">
        <v>240.01784695568</v>
      </c>
    </row>
    <row r="71" spans="1:7" x14ac:dyDescent="0.45">
      <c r="A71" s="1">
        <v>45144</v>
      </c>
      <c r="B71" t="s">
        <v>7</v>
      </c>
      <c r="C71" t="s">
        <v>19</v>
      </c>
      <c r="D71" t="s">
        <v>20</v>
      </c>
      <c r="E71">
        <v>37.243993289011101</v>
      </c>
      <c r="F71">
        <v>14</v>
      </c>
      <c r="G71">
        <v>3.6844797280620498</v>
      </c>
    </row>
    <row r="72" spans="1:7" x14ac:dyDescent="0.45">
      <c r="A72" s="1">
        <v>44970</v>
      </c>
      <c r="B72" t="s">
        <v>18</v>
      </c>
      <c r="C72" t="s">
        <v>8</v>
      </c>
      <c r="D72" t="s">
        <v>11</v>
      </c>
      <c r="E72">
        <v>841.41800052407496</v>
      </c>
      <c r="F72">
        <v>14</v>
      </c>
      <c r="G72">
        <v>214.614876913665</v>
      </c>
    </row>
    <row r="73" spans="1:7" x14ac:dyDescent="0.45">
      <c r="A73" s="1">
        <v>45088</v>
      </c>
      <c r="B73" t="s">
        <v>14</v>
      </c>
      <c r="C73" t="s">
        <v>19</v>
      </c>
      <c r="D73" t="s">
        <v>11</v>
      </c>
      <c r="E73">
        <v>754.25445130870196</v>
      </c>
      <c r="F73">
        <v>13</v>
      </c>
      <c r="G73">
        <v>160.04282217268201</v>
      </c>
    </row>
    <row r="74" spans="1:7" x14ac:dyDescent="0.45">
      <c r="A74" s="1">
        <v>45128</v>
      </c>
      <c r="B74" t="s">
        <v>12</v>
      </c>
      <c r="C74" t="s">
        <v>16</v>
      </c>
      <c r="D74" t="s">
        <v>11</v>
      </c>
      <c r="E74">
        <v>236.40746530636099</v>
      </c>
      <c r="F74">
        <v>7</v>
      </c>
      <c r="G74">
        <v>36.582268830117201</v>
      </c>
    </row>
    <row r="75" spans="1:7" x14ac:dyDescent="0.45">
      <c r="A75" s="1">
        <v>45196</v>
      </c>
      <c r="B75" t="s">
        <v>12</v>
      </c>
      <c r="C75" t="s">
        <v>16</v>
      </c>
      <c r="D75" t="s">
        <v>20</v>
      </c>
      <c r="E75">
        <v>956.75689245365197</v>
      </c>
      <c r="F75">
        <v>12</v>
      </c>
      <c r="G75">
        <v>157.393353587089</v>
      </c>
    </row>
    <row r="76" spans="1:7" x14ac:dyDescent="0.45">
      <c r="A76" s="1">
        <v>45277</v>
      </c>
      <c r="B76" t="s">
        <v>14</v>
      </c>
      <c r="C76" t="s">
        <v>16</v>
      </c>
      <c r="D76" t="s">
        <v>11</v>
      </c>
      <c r="E76">
        <v>156.69614894764601</v>
      </c>
      <c r="F76">
        <v>15</v>
      </c>
      <c r="G76">
        <v>17.888714698439699</v>
      </c>
    </row>
    <row r="77" spans="1:7" x14ac:dyDescent="0.45">
      <c r="A77" s="1">
        <v>45230</v>
      </c>
      <c r="B77" t="s">
        <v>14</v>
      </c>
      <c r="C77" t="s">
        <v>10</v>
      </c>
      <c r="D77" t="s">
        <v>20</v>
      </c>
      <c r="E77">
        <v>682.75442786256895</v>
      </c>
      <c r="F77">
        <v>19</v>
      </c>
      <c r="G77">
        <v>162.51506912006801</v>
      </c>
    </row>
    <row r="78" spans="1:7" x14ac:dyDescent="0.45">
      <c r="A78" s="1">
        <v>45197</v>
      </c>
      <c r="B78" t="s">
        <v>7</v>
      </c>
      <c r="C78" t="s">
        <v>16</v>
      </c>
      <c r="D78" t="s">
        <v>11</v>
      </c>
      <c r="E78">
        <v>232.64131464775301</v>
      </c>
      <c r="F78">
        <v>11</v>
      </c>
      <c r="G78">
        <v>41.461029307268902</v>
      </c>
    </row>
    <row r="79" spans="1:7" x14ac:dyDescent="0.45">
      <c r="A79" s="1">
        <v>45141</v>
      </c>
      <c r="B79" t="s">
        <v>12</v>
      </c>
      <c r="C79" t="s">
        <v>8</v>
      </c>
      <c r="D79" t="s">
        <v>11</v>
      </c>
      <c r="E79">
        <v>437.06684228633299</v>
      </c>
      <c r="F79">
        <v>15</v>
      </c>
      <c r="G79">
        <v>56.912062572541601</v>
      </c>
    </row>
    <row r="80" spans="1:7" x14ac:dyDescent="0.45">
      <c r="A80" s="1">
        <v>45178</v>
      </c>
      <c r="B80" t="s">
        <v>18</v>
      </c>
      <c r="C80" t="s">
        <v>19</v>
      </c>
      <c r="D80" t="s">
        <v>9</v>
      </c>
      <c r="E80">
        <v>721.96829797512305</v>
      </c>
      <c r="F80">
        <v>12</v>
      </c>
      <c r="G80">
        <v>143.680736794708</v>
      </c>
    </row>
    <row r="81" spans="1:7" x14ac:dyDescent="0.45">
      <c r="A81" s="1">
        <v>45116</v>
      </c>
      <c r="B81" t="s">
        <v>13</v>
      </c>
      <c r="C81" t="s">
        <v>15</v>
      </c>
      <c r="D81" t="s">
        <v>17</v>
      </c>
      <c r="E81">
        <v>567.69139561271595</v>
      </c>
      <c r="F81">
        <v>3</v>
      </c>
      <c r="G81">
        <v>169.70203996680499</v>
      </c>
    </row>
    <row r="82" spans="1:7" x14ac:dyDescent="0.45">
      <c r="A82" s="1">
        <v>45222</v>
      </c>
      <c r="B82" t="s">
        <v>13</v>
      </c>
      <c r="C82" t="s">
        <v>8</v>
      </c>
      <c r="D82" t="s">
        <v>20</v>
      </c>
      <c r="E82">
        <v>433.22681301482999</v>
      </c>
      <c r="F82">
        <v>17</v>
      </c>
      <c r="G82">
        <v>68.803163211036207</v>
      </c>
    </row>
    <row r="83" spans="1:7" x14ac:dyDescent="0.45">
      <c r="A83" s="1">
        <v>45139</v>
      </c>
      <c r="B83" t="s">
        <v>14</v>
      </c>
      <c r="C83" t="s">
        <v>8</v>
      </c>
      <c r="D83" t="s">
        <v>9</v>
      </c>
      <c r="E83">
        <v>333.075046622667</v>
      </c>
      <c r="F83">
        <v>3</v>
      </c>
      <c r="G83">
        <v>93.318585140990194</v>
      </c>
    </row>
    <row r="84" spans="1:7" x14ac:dyDescent="0.45">
      <c r="A84" s="1">
        <v>45134</v>
      </c>
      <c r="B84" t="s">
        <v>7</v>
      </c>
      <c r="C84" t="s">
        <v>16</v>
      </c>
      <c r="D84" t="s">
        <v>11</v>
      </c>
      <c r="E84">
        <v>841.26305915170201</v>
      </c>
      <c r="F84">
        <v>19</v>
      </c>
      <c r="G84">
        <v>114.625633511033</v>
      </c>
    </row>
    <row r="85" spans="1:7" x14ac:dyDescent="0.45">
      <c r="A85" s="1">
        <v>45163</v>
      </c>
      <c r="B85" t="s">
        <v>13</v>
      </c>
      <c r="C85" t="s">
        <v>10</v>
      </c>
      <c r="D85" t="s">
        <v>20</v>
      </c>
      <c r="E85">
        <v>152.37620681166501</v>
      </c>
      <c r="F85">
        <v>4</v>
      </c>
      <c r="G85">
        <v>9.7038009080242595</v>
      </c>
    </row>
    <row r="86" spans="1:7" x14ac:dyDescent="0.45">
      <c r="A86" s="1">
        <v>45264</v>
      </c>
      <c r="B86" t="s">
        <v>12</v>
      </c>
      <c r="C86" t="s">
        <v>19</v>
      </c>
      <c r="D86" t="s">
        <v>11</v>
      </c>
      <c r="E86">
        <v>435.80184776450199</v>
      </c>
      <c r="F86">
        <v>3</v>
      </c>
      <c r="G86">
        <v>44.042364224893902</v>
      </c>
    </row>
    <row r="87" spans="1:7" x14ac:dyDescent="0.45">
      <c r="A87" s="1">
        <v>44979</v>
      </c>
      <c r="B87" t="s">
        <v>14</v>
      </c>
      <c r="C87" t="s">
        <v>10</v>
      </c>
      <c r="D87" t="s">
        <v>17</v>
      </c>
      <c r="E87">
        <v>904.71999605738995</v>
      </c>
      <c r="F87">
        <v>16</v>
      </c>
      <c r="G87">
        <v>139.936466908037</v>
      </c>
    </row>
    <row r="88" spans="1:7" x14ac:dyDescent="0.45">
      <c r="A88" s="1">
        <v>45206</v>
      </c>
      <c r="B88" t="s">
        <v>18</v>
      </c>
      <c r="C88" t="s">
        <v>19</v>
      </c>
      <c r="D88" t="s">
        <v>9</v>
      </c>
      <c r="E88">
        <v>847.39105495536796</v>
      </c>
      <c r="F88">
        <v>12</v>
      </c>
      <c r="G88">
        <v>88.898721209467993</v>
      </c>
    </row>
    <row r="89" spans="1:7" x14ac:dyDescent="0.45">
      <c r="A89" s="1">
        <v>45143</v>
      </c>
      <c r="B89" t="s">
        <v>14</v>
      </c>
      <c r="C89" t="s">
        <v>19</v>
      </c>
      <c r="D89" t="s">
        <v>17</v>
      </c>
      <c r="E89">
        <v>406.93234484831601</v>
      </c>
      <c r="F89">
        <v>8</v>
      </c>
      <c r="G89">
        <v>20.369714541046999</v>
      </c>
    </row>
    <row r="90" spans="1:7" x14ac:dyDescent="0.45">
      <c r="A90" s="1">
        <v>45178</v>
      </c>
      <c r="B90" t="s">
        <v>18</v>
      </c>
      <c r="C90" t="s">
        <v>10</v>
      </c>
      <c r="D90" t="s">
        <v>9</v>
      </c>
      <c r="E90">
        <v>765.477279965295</v>
      </c>
      <c r="F90">
        <v>17</v>
      </c>
      <c r="G90">
        <v>213.377086068024</v>
      </c>
    </row>
    <row r="91" spans="1:7" x14ac:dyDescent="0.45">
      <c r="A91" s="1">
        <v>45114</v>
      </c>
      <c r="B91" t="s">
        <v>14</v>
      </c>
      <c r="C91" t="s">
        <v>8</v>
      </c>
      <c r="D91" t="s">
        <v>11</v>
      </c>
      <c r="E91">
        <v>824.92922240176995</v>
      </c>
      <c r="F91">
        <v>7</v>
      </c>
      <c r="G91">
        <v>215.28165774698701</v>
      </c>
    </row>
    <row r="92" spans="1:7" x14ac:dyDescent="0.45">
      <c r="A92" s="1">
        <v>44967</v>
      </c>
      <c r="B92" t="s">
        <v>14</v>
      </c>
      <c r="C92" t="s">
        <v>19</v>
      </c>
      <c r="D92" t="s">
        <v>17</v>
      </c>
      <c r="E92">
        <v>889.99854976359302</v>
      </c>
      <c r="F92">
        <v>11</v>
      </c>
      <c r="G92">
        <v>209.65967986922001</v>
      </c>
    </row>
    <row r="93" spans="1:7" x14ac:dyDescent="0.45">
      <c r="A93" s="1">
        <v>45083</v>
      </c>
      <c r="B93" t="s">
        <v>14</v>
      </c>
      <c r="C93" t="s">
        <v>10</v>
      </c>
      <c r="D93" t="s">
        <v>17</v>
      </c>
      <c r="E93">
        <v>549.06071135873503</v>
      </c>
      <c r="F93">
        <v>18</v>
      </c>
      <c r="G93">
        <v>50.488135883383499</v>
      </c>
    </row>
    <row r="94" spans="1:7" x14ac:dyDescent="0.45">
      <c r="A94" s="1">
        <v>44941</v>
      </c>
      <c r="B94" t="s">
        <v>18</v>
      </c>
      <c r="C94" t="s">
        <v>19</v>
      </c>
      <c r="D94" t="s">
        <v>11</v>
      </c>
      <c r="E94">
        <v>212.416277194164</v>
      </c>
      <c r="F94">
        <v>1</v>
      </c>
      <c r="G94">
        <v>17.012609551783498</v>
      </c>
    </row>
    <row r="95" spans="1:7" x14ac:dyDescent="0.45">
      <c r="A95" s="1">
        <v>45227</v>
      </c>
      <c r="B95" t="s">
        <v>18</v>
      </c>
      <c r="C95" t="s">
        <v>15</v>
      </c>
      <c r="D95" t="s">
        <v>17</v>
      </c>
      <c r="E95">
        <v>262.75598573889198</v>
      </c>
      <c r="F95">
        <v>3</v>
      </c>
      <c r="G95">
        <v>17.578687434006302</v>
      </c>
    </row>
    <row r="96" spans="1:7" x14ac:dyDescent="0.45">
      <c r="A96" s="1">
        <v>44991</v>
      </c>
      <c r="B96" t="s">
        <v>14</v>
      </c>
      <c r="C96" t="s">
        <v>8</v>
      </c>
      <c r="D96" t="s">
        <v>20</v>
      </c>
      <c r="E96">
        <v>302.73772730118799</v>
      </c>
      <c r="F96">
        <v>4</v>
      </c>
      <c r="G96">
        <v>69.934624142268603</v>
      </c>
    </row>
    <row r="97" spans="1:7" x14ac:dyDescent="0.45">
      <c r="A97" s="1">
        <v>45271</v>
      </c>
      <c r="B97" t="s">
        <v>13</v>
      </c>
      <c r="C97" t="s">
        <v>16</v>
      </c>
      <c r="D97" t="s">
        <v>9</v>
      </c>
      <c r="E97">
        <v>597.86445600151899</v>
      </c>
      <c r="F97">
        <v>13</v>
      </c>
      <c r="G97">
        <v>168.71853933671099</v>
      </c>
    </row>
    <row r="98" spans="1:7" x14ac:dyDescent="0.45">
      <c r="A98" s="1">
        <v>45253</v>
      </c>
      <c r="B98" t="s">
        <v>7</v>
      </c>
      <c r="C98" t="s">
        <v>19</v>
      </c>
      <c r="D98" t="s">
        <v>9</v>
      </c>
      <c r="E98">
        <v>42.481527887322301</v>
      </c>
      <c r="F98">
        <v>6</v>
      </c>
      <c r="G98">
        <v>6.6965312650182103</v>
      </c>
    </row>
    <row r="99" spans="1:7" x14ac:dyDescent="0.45">
      <c r="A99" s="1">
        <v>44935</v>
      </c>
      <c r="B99" t="s">
        <v>7</v>
      </c>
      <c r="C99" t="s">
        <v>15</v>
      </c>
      <c r="D99" t="s">
        <v>9</v>
      </c>
      <c r="E99">
        <v>639.68204409216798</v>
      </c>
      <c r="F99">
        <v>14</v>
      </c>
      <c r="G99">
        <v>51.037139353845099</v>
      </c>
    </row>
    <row r="100" spans="1:7" x14ac:dyDescent="0.45">
      <c r="A100" s="1">
        <v>45270</v>
      </c>
      <c r="B100" t="s">
        <v>7</v>
      </c>
      <c r="C100" t="s">
        <v>16</v>
      </c>
      <c r="D100" t="s">
        <v>20</v>
      </c>
      <c r="E100">
        <v>370.71069604394899</v>
      </c>
      <c r="F100">
        <v>5</v>
      </c>
      <c r="G100">
        <v>66.022909607577901</v>
      </c>
    </row>
    <row r="101" spans="1:7" x14ac:dyDescent="0.45">
      <c r="A101" s="1">
        <v>45055</v>
      </c>
      <c r="B101" t="s">
        <v>18</v>
      </c>
      <c r="C101" t="s">
        <v>16</v>
      </c>
      <c r="D101" t="s">
        <v>9</v>
      </c>
      <c r="E101">
        <v>302.28938446474501</v>
      </c>
      <c r="F101">
        <v>16</v>
      </c>
      <c r="G101">
        <v>41.476514870070297</v>
      </c>
    </row>
    <row r="102" spans="1:7" x14ac:dyDescent="0.45">
      <c r="A102" s="1">
        <v>45062</v>
      </c>
      <c r="B102" t="s">
        <v>18</v>
      </c>
      <c r="C102" t="s">
        <v>19</v>
      </c>
      <c r="D102" t="s">
        <v>11</v>
      </c>
      <c r="E102">
        <v>880.70160502084502</v>
      </c>
      <c r="F102">
        <v>15</v>
      </c>
      <c r="G102">
        <v>126.562308370257</v>
      </c>
    </row>
    <row r="103" spans="1:7" x14ac:dyDescent="0.45">
      <c r="A103" s="1">
        <v>44989</v>
      </c>
      <c r="B103" t="s">
        <v>13</v>
      </c>
      <c r="C103" t="s">
        <v>10</v>
      </c>
      <c r="D103" t="s">
        <v>17</v>
      </c>
      <c r="E103">
        <v>465.40237162499</v>
      </c>
      <c r="F103">
        <v>15</v>
      </c>
      <c r="G103">
        <v>95.562305092575002</v>
      </c>
    </row>
    <row r="104" spans="1:7" x14ac:dyDescent="0.45">
      <c r="A104" s="1">
        <v>45065</v>
      </c>
      <c r="B104" t="s">
        <v>7</v>
      </c>
      <c r="C104" t="s">
        <v>19</v>
      </c>
      <c r="D104" t="s">
        <v>20</v>
      </c>
      <c r="E104">
        <v>104.102515077365</v>
      </c>
      <c r="F104">
        <v>4</v>
      </c>
      <c r="G104">
        <v>23.910216559431799</v>
      </c>
    </row>
    <row r="105" spans="1:7" x14ac:dyDescent="0.45">
      <c r="A105" s="1">
        <v>45007</v>
      </c>
      <c r="B105" t="s">
        <v>7</v>
      </c>
      <c r="C105" t="s">
        <v>15</v>
      </c>
      <c r="D105" t="s">
        <v>9</v>
      </c>
      <c r="E105">
        <v>828.47930034598403</v>
      </c>
      <c r="F105">
        <v>8</v>
      </c>
      <c r="G105">
        <v>64.332163069845294</v>
      </c>
    </row>
    <row r="106" spans="1:7" x14ac:dyDescent="0.45">
      <c r="A106" s="1">
        <v>45089</v>
      </c>
      <c r="B106" t="s">
        <v>14</v>
      </c>
      <c r="C106" t="s">
        <v>16</v>
      </c>
      <c r="D106" t="s">
        <v>11</v>
      </c>
      <c r="E106">
        <v>57.1648448621415</v>
      </c>
      <c r="F106">
        <v>16</v>
      </c>
      <c r="G106">
        <v>3.3668697487720798</v>
      </c>
    </row>
    <row r="107" spans="1:7" x14ac:dyDescent="0.45">
      <c r="A107" s="1">
        <v>45215</v>
      </c>
      <c r="B107" t="s">
        <v>18</v>
      </c>
      <c r="C107" t="s">
        <v>19</v>
      </c>
      <c r="D107" t="s">
        <v>17</v>
      </c>
      <c r="E107">
        <v>729.48173192651404</v>
      </c>
      <c r="F107">
        <v>16</v>
      </c>
      <c r="G107">
        <v>217.81053442387301</v>
      </c>
    </row>
    <row r="108" spans="1:7" x14ac:dyDescent="0.45">
      <c r="A108" s="1">
        <v>45187</v>
      </c>
      <c r="B108" t="s">
        <v>7</v>
      </c>
      <c r="C108" t="s">
        <v>10</v>
      </c>
      <c r="D108" t="s">
        <v>17</v>
      </c>
      <c r="E108">
        <v>776.16715955295797</v>
      </c>
      <c r="F108">
        <v>4</v>
      </c>
      <c r="G108">
        <v>83.967383358956297</v>
      </c>
    </row>
    <row r="109" spans="1:7" x14ac:dyDescent="0.45">
      <c r="A109" s="1">
        <v>45157</v>
      </c>
      <c r="B109" t="s">
        <v>13</v>
      </c>
      <c r="C109" t="s">
        <v>19</v>
      </c>
      <c r="D109" t="s">
        <v>20</v>
      </c>
      <c r="E109">
        <v>359.076579869569</v>
      </c>
      <c r="F109">
        <v>13</v>
      </c>
      <c r="G109">
        <v>22.786149187656701</v>
      </c>
    </row>
    <row r="110" spans="1:7" x14ac:dyDescent="0.45">
      <c r="A110" s="1">
        <v>44967</v>
      </c>
      <c r="B110" t="s">
        <v>13</v>
      </c>
      <c r="C110" t="s">
        <v>8</v>
      </c>
      <c r="D110" t="s">
        <v>20</v>
      </c>
      <c r="E110">
        <v>826.53997771500804</v>
      </c>
      <c r="F110">
        <v>13</v>
      </c>
      <c r="G110">
        <v>80.561886455643304</v>
      </c>
    </row>
    <row r="111" spans="1:7" x14ac:dyDescent="0.45">
      <c r="A111" s="1">
        <v>44954</v>
      </c>
      <c r="B111" t="s">
        <v>7</v>
      </c>
      <c r="C111" t="s">
        <v>10</v>
      </c>
      <c r="D111" t="s">
        <v>20</v>
      </c>
      <c r="E111">
        <v>520.50281179788794</v>
      </c>
      <c r="F111">
        <v>2</v>
      </c>
      <c r="G111">
        <v>31.094557731385802</v>
      </c>
    </row>
    <row r="112" spans="1:7" x14ac:dyDescent="0.45">
      <c r="A112" s="1">
        <v>45061</v>
      </c>
      <c r="B112" t="s">
        <v>18</v>
      </c>
      <c r="C112" t="s">
        <v>15</v>
      </c>
      <c r="D112" t="s">
        <v>11</v>
      </c>
      <c r="E112">
        <v>468.66071674006798</v>
      </c>
      <c r="F112">
        <v>3</v>
      </c>
      <c r="G112">
        <v>69.3396295114662</v>
      </c>
    </row>
    <row r="113" spans="1:7" x14ac:dyDescent="0.45">
      <c r="A113" s="1">
        <v>45127</v>
      </c>
      <c r="B113" t="s">
        <v>13</v>
      </c>
      <c r="C113" t="s">
        <v>16</v>
      </c>
      <c r="D113" t="s">
        <v>11</v>
      </c>
      <c r="E113">
        <v>54.949248654005601</v>
      </c>
      <c r="F113">
        <v>8</v>
      </c>
      <c r="G113">
        <v>13.770306226258599</v>
      </c>
    </row>
    <row r="114" spans="1:7" x14ac:dyDescent="0.45">
      <c r="A114" s="1">
        <v>45254</v>
      </c>
      <c r="B114" t="s">
        <v>14</v>
      </c>
      <c r="C114" t="s">
        <v>19</v>
      </c>
      <c r="D114" t="s">
        <v>20</v>
      </c>
      <c r="E114">
        <v>297.128901712416</v>
      </c>
      <c r="F114">
        <v>15</v>
      </c>
      <c r="G114">
        <v>40.204842228613202</v>
      </c>
    </row>
    <row r="115" spans="1:7" x14ac:dyDescent="0.45">
      <c r="A115" s="1">
        <v>45194</v>
      </c>
      <c r="B115" t="s">
        <v>13</v>
      </c>
      <c r="C115" t="s">
        <v>10</v>
      </c>
      <c r="D115" t="s">
        <v>9</v>
      </c>
      <c r="E115">
        <v>931.69987117644598</v>
      </c>
      <c r="F115">
        <v>11</v>
      </c>
      <c r="G115">
        <v>150.046399300644</v>
      </c>
    </row>
    <row r="116" spans="1:7" x14ac:dyDescent="0.45">
      <c r="A116" s="1">
        <v>44959</v>
      </c>
      <c r="B116" t="s">
        <v>12</v>
      </c>
      <c r="C116" t="s">
        <v>8</v>
      </c>
      <c r="D116" t="s">
        <v>17</v>
      </c>
      <c r="E116">
        <v>397.90572365066498</v>
      </c>
      <c r="F116">
        <v>9</v>
      </c>
      <c r="G116">
        <v>87.100247188825605</v>
      </c>
    </row>
    <row r="117" spans="1:7" x14ac:dyDescent="0.45">
      <c r="A117" s="1">
        <v>44974</v>
      </c>
      <c r="B117" t="s">
        <v>12</v>
      </c>
      <c r="C117" t="s">
        <v>10</v>
      </c>
      <c r="D117" t="s">
        <v>17</v>
      </c>
      <c r="E117">
        <v>551.23351535120003</v>
      </c>
      <c r="F117">
        <v>7</v>
      </c>
      <c r="G117">
        <v>97.6915425640601</v>
      </c>
    </row>
    <row r="118" spans="1:7" x14ac:dyDescent="0.45">
      <c r="A118" s="1">
        <v>44988</v>
      </c>
      <c r="B118" t="s">
        <v>18</v>
      </c>
      <c r="C118" t="s">
        <v>8</v>
      </c>
      <c r="D118" t="s">
        <v>11</v>
      </c>
      <c r="E118">
        <v>536.70146219440903</v>
      </c>
      <c r="F118">
        <v>13</v>
      </c>
      <c r="G118">
        <v>142.419862931898</v>
      </c>
    </row>
    <row r="119" spans="1:7" x14ac:dyDescent="0.45">
      <c r="A119" s="1">
        <v>45142</v>
      </c>
      <c r="B119" t="s">
        <v>7</v>
      </c>
      <c r="C119" t="s">
        <v>15</v>
      </c>
      <c r="D119" t="s">
        <v>17</v>
      </c>
      <c r="E119">
        <v>594.52677892446604</v>
      </c>
      <c r="F119">
        <v>2</v>
      </c>
      <c r="G119">
        <v>158.44668902588</v>
      </c>
    </row>
    <row r="120" spans="1:7" x14ac:dyDescent="0.45">
      <c r="A120" s="1">
        <v>45219</v>
      </c>
      <c r="B120" t="s">
        <v>18</v>
      </c>
      <c r="C120" t="s">
        <v>16</v>
      </c>
      <c r="D120" t="s">
        <v>9</v>
      </c>
      <c r="E120">
        <v>70.717646086849697</v>
      </c>
      <c r="F120">
        <v>8</v>
      </c>
      <c r="G120">
        <v>3.71109756839697</v>
      </c>
    </row>
    <row r="121" spans="1:7" x14ac:dyDescent="0.45">
      <c r="A121" s="1">
        <v>45025</v>
      </c>
      <c r="B121" t="s">
        <v>18</v>
      </c>
      <c r="C121" t="s">
        <v>15</v>
      </c>
      <c r="D121" t="s">
        <v>17</v>
      </c>
      <c r="E121">
        <v>368.55449225074102</v>
      </c>
      <c r="F121">
        <v>7</v>
      </c>
      <c r="G121">
        <v>90.115839970907004</v>
      </c>
    </row>
    <row r="122" spans="1:7" x14ac:dyDescent="0.45">
      <c r="A122" s="1">
        <v>45098</v>
      </c>
      <c r="B122" t="s">
        <v>18</v>
      </c>
      <c r="C122" t="s">
        <v>19</v>
      </c>
      <c r="D122" t="s">
        <v>11</v>
      </c>
      <c r="E122">
        <v>725.89699114372797</v>
      </c>
      <c r="F122">
        <v>12</v>
      </c>
      <c r="G122">
        <v>119.906133090748</v>
      </c>
    </row>
    <row r="123" spans="1:7" x14ac:dyDescent="0.45">
      <c r="A123" s="1">
        <v>45286</v>
      </c>
      <c r="B123" t="s">
        <v>18</v>
      </c>
      <c r="C123" t="s">
        <v>10</v>
      </c>
      <c r="D123" t="s">
        <v>11</v>
      </c>
      <c r="E123">
        <v>208.55464856225299</v>
      </c>
      <c r="F123">
        <v>19</v>
      </c>
      <c r="G123">
        <v>61.984555322036002</v>
      </c>
    </row>
    <row r="124" spans="1:7" x14ac:dyDescent="0.45">
      <c r="A124" s="1">
        <v>45140</v>
      </c>
      <c r="B124" t="s">
        <v>14</v>
      </c>
      <c r="C124" t="s">
        <v>8</v>
      </c>
      <c r="D124" t="s">
        <v>9</v>
      </c>
      <c r="E124">
        <v>211.54259377089599</v>
      </c>
      <c r="F124">
        <v>7</v>
      </c>
      <c r="G124">
        <v>36.133171369540896</v>
      </c>
    </row>
    <row r="125" spans="1:7" x14ac:dyDescent="0.45">
      <c r="A125" s="1">
        <v>44961</v>
      </c>
      <c r="B125" t="s">
        <v>14</v>
      </c>
      <c r="C125" t="s">
        <v>8</v>
      </c>
      <c r="D125" t="s">
        <v>9</v>
      </c>
      <c r="E125">
        <v>19.9897006221344</v>
      </c>
      <c r="F125">
        <v>10</v>
      </c>
      <c r="G125">
        <v>5.9314236544843304</v>
      </c>
    </row>
    <row r="126" spans="1:7" x14ac:dyDescent="0.45">
      <c r="A126" s="1">
        <v>45153</v>
      </c>
      <c r="B126" t="s">
        <v>13</v>
      </c>
      <c r="C126" t="s">
        <v>10</v>
      </c>
      <c r="D126" t="s">
        <v>17</v>
      </c>
      <c r="E126">
        <v>443.10710734212699</v>
      </c>
      <c r="F126">
        <v>16</v>
      </c>
      <c r="G126">
        <v>105.744117100324</v>
      </c>
    </row>
    <row r="127" spans="1:7" x14ac:dyDescent="0.45">
      <c r="A127" s="1">
        <v>45027</v>
      </c>
      <c r="B127" t="s">
        <v>12</v>
      </c>
      <c r="C127" t="s">
        <v>10</v>
      </c>
      <c r="D127" t="s">
        <v>17</v>
      </c>
      <c r="E127">
        <v>883.90703686668701</v>
      </c>
      <c r="F127">
        <v>3</v>
      </c>
      <c r="G127">
        <v>99.131253570617503</v>
      </c>
    </row>
    <row r="128" spans="1:7" x14ac:dyDescent="0.45">
      <c r="A128" s="1">
        <v>45057</v>
      </c>
      <c r="B128" t="s">
        <v>18</v>
      </c>
      <c r="C128" t="s">
        <v>19</v>
      </c>
      <c r="D128" t="s">
        <v>11</v>
      </c>
      <c r="E128">
        <v>61.3819341514359</v>
      </c>
      <c r="F128">
        <v>10</v>
      </c>
      <c r="G128">
        <v>11.3310279990857</v>
      </c>
    </row>
    <row r="129" spans="1:7" x14ac:dyDescent="0.45">
      <c r="A129" s="1">
        <v>45183</v>
      </c>
      <c r="B129" t="s">
        <v>13</v>
      </c>
      <c r="C129" t="s">
        <v>15</v>
      </c>
      <c r="D129" t="s">
        <v>9</v>
      </c>
      <c r="E129">
        <v>199.20752240104201</v>
      </c>
      <c r="F129">
        <v>6</v>
      </c>
      <c r="G129">
        <v>59.3705967766277</v>
      </c>
    </row>
    <row r="130" spans="1:7" x14ac:dyDescent="0.45">
      <c r="A130" s="1">
        <v>44931</v>
      </c>
      <c r="B130" t="s">
        <v>12</v>
      </c>
      <c r="C130" t="s">
        <v>8</v>
      </c>
      <c r="D130" t="s">
        <v>9</v>
      </c>
      <c r="E130">
        <v>316.98369295932702</v>
      </c>
      <c r="F130">
        <v>18</v>
      </c>
      <c r="G130">
        <v>83.804989365681706</v>
      </c>
    </row>
    <row r="131" spans="1:7" x14ac:dyDescent="0.45">
      <c r="A131" s="1">
        <v>45144</v>
      </c>
      <c r="B131" t="s">
        <v>7</v>
      </c>
      <c r="C131" t="s">
        <v>19</v>
      </c>
      <c r="D131" t="s">
        <v>9</v>
      </c>
      <c r="E131">
        <v>734.40748919857003</v>
      </c>
      <c r="F131">
        <v>18</v>
      </c>
      <c r="G131">
        <v>54.597118459997098</v>
      </c>
    </row>
    <row r="132" spans="1:7" x14ac:dyDescent="0.45">
      <c r="A132" s="1">
        <v>45181</v>
      </c>
      <c r="B132" t="s">
        <v>14</v>
      </c>
      <c r="C132" t="s">
        <v>15</v>
      </c>
      <c r="D132" t="s">
        <v>17</v>
      </c>
      <c r="E132">
        <v>644.22923687456</v>
      </c>
      <c r="F132">
        <v>5</v>
      </c>
      <c r="G132">
        <v>145.97783495734299</v>
      </c>
    </row>
    <row r="133" spans="1:7" x14ac:dyDescent="0.45">
      <c r="A133" s="1">
        <v>45285</v>
      </c>
      <c r="B133" t="s">
        <v>12</v>
      </c>
      <c r="C133" t="s">
        <v>19</v>
      </c>
      <c r="D133" t="s">
        <v>9</v>
      </c>
      <c r="E133">
        <v>421.78446553603601</v>
      </c>
      <c r="F133">
        <v>7</v>
      </c>
      <c r="G133">
        <v>57.529248508473202</v>
      </c>
    </row>
    <row r="134" spans="1:7" x14ac:dyDescent="0.45">
      <c r="A134" s="1">
        <v>45209</v>
      </c>
      <c r="B134" t="s">
        <v>7</v>
      </c>
      <c r="C134" t="s">
        <v>8</v>
      </c>
      <c r="D134" t="s">
        <v>11</v>
      </c>
      <c r="E134">
        <v>761.47824986579099</v>
      </c>
      <c r="F134">
        <v>2</v>
      </c>
      <c r="G134">
        <v>39.403122632477597</v>
      </c>
    </row>
    <row r="135" spans="1:7" x14ac:dyDescent="0.45">
      <c r="A135" s="1">
        <v>45133</v>
      </c>
      <c r="B135" t="s">
        <v>12</v>
      </c>
      <c r="C135" t="s">
        <v>10</v>
      </c>
      <c r="D135" t="s">
        <v>11</v>
      </c>
      <c r="E135">
        <v>613.53470154033198</v>
      </c>
      <c r="F135">
        <v>11</v>
      </c>
      <c r="G135">
        <v>92.564129054312701</v>
      </c>
    </row>
    <row r="136" spans="1:7" x14ac:dyDescent="0.45">
      <c r="A136" s="1">
        <v>44941</v>
      </c>
      <c r="B136" t="s">
        <v>14</v>
      </c>
      <c r="C136" t="s">
        <v>10</v>
      </c>
      <c r="D136" t="s">
        <v>17</v>
      </c>
      <c r="E136">
        <v>897.080391660646</v>
      </c>
      <c r="F136">
        <v>13</v>
      </c>
      <c r="G136">
        <v>97.502416729308806</v>
      </c>
    </row>
    <row r="137" spans="1:7" x14ac:dyDescent="0.45">
      <c r="A137" s="1">
        <v>45272</v>
      </c>
      <c r="B137" t="s">
        <v>14</v>
      </c>
      <c r="C137" t="s">
        <v>15</v>
      </c>
      <c r="D137" t="s">
        <v>20</v>
      </c>
      <c r="E137">
        <v>819.84648164730595</v>
      </c>
      <c r="F137">
        <v>5</v>
      </c>
      <c r="G137">
        <v>208.829096673691</v>
      </c>
    </row>
    <row r="138" spans="1:7" x14ac:dyDescent="0.45">
      <c r="A138" s="1">
        <v>44968</v>
      </c>
      <c r="B138" t="s">
        <v>13</v>
      </c>
      <c r="C138" t="s">
        <v>16</v>
      </c>
      <c r="D138" t="s">
        <v>17</v>
      </c>
      <c r="E138">
        <v>260.285470028308</v>
      </c>
      <c r="F138">
        <v>6</v>
      </c>
      <c r="G138">
        <v>34.964837521004299</v>
      </c>
    </row>
    <row r="139" spans="1:7" x14ac:dyDescent="0.45">
      <c r="A139" s="1">
        <v>45105</v>
      </c>
      <c r="B139" t="s">
        <v>18</v>
      </c>
      <c r="C139" t="s">
        <v>15</v>
      </c>
      <c r="D139" t="s">
        <v>20</v>
      </c>
      <c r="E139">
        <v>278.72419185785799</v>
      </c>
      <c r="F139">
        <v>14</v>
      </c>
      <c r="G139">
        <v>71.598927803019706</v>
      </c>
    </row>
    <row r="140" spans="1:7" x14ac:dyDescent="0.45">
      <c r="A140" s="1">
        <v>44989</v>
      </c>
      <c r="B140" t="s">
        <v>12</v>
      </c>
      <c r="C140" t="s">
        <v>16</v>
      </c>
      <c r="D140" t="s">
        <v>9</v>
      </c>
      <c r="E140">
        <v>134.10291103446099</v>
      </c>
      <c r="F140">
        <v>12</v>
      </c>
      <c r="G140">
        <v>6.7251918863147404</v>
      </c>
    </row>
    <row r="141" spans="1:7" x14ac:dyDescent="0.45">
      <c r="A141" s="1">
        <v>45278</v>
      </c>
      <c r="B141" t="s">
        <v>12</v>
      </c>
      <c r="C141" t="s">
        <v>19</v>
      </c>
      <c r="D141" t="s">
        <v>17</v>
      </c>
      <c r="E141">
        <v>343.595078460281</v>
      </c>
      <c r="F141">
        <v>4</v>
      </c>
      <c r="G141">
        <v>43.6210401742145</v>
      </c>
    </row>
    <row r="142" spans="1:7" x14ac:dyDescent="0.45">
      <c r="A142" s="1">
        <v>45157</v>
      </c>
      <c r="B142" t="s">
        <v>7</v>
      </c>
      <c r="C142" t="s">
        <v>19</v>
      </c>
      <c r="D142" t="s">
        <v>11</v>
      </c>
      <c r="E142">
        <v>999.54847953190301</v>
      </c>
      <c r="F142">
        <v>6</v>
      </c>
      <c r="G142">
        <v>110.241504795922</v>
      </c>
    </row>
    <row r="143" spans="1:7" x14ac:dyDescent="0.45">
      <c r="A143" s="1">
        <v>45167</v>
      </c>
      <c r="B143" t="s">
        <v>14</v>
      </c>
      <c r="C143" t="s">
        <v>8</v>
      </c>
      <c r="D143" t="s">
        <v>9</v>
      </c>
      <c r="E143">
        <v>411.69365692891</v>
      </c>
      <c r="F143">
        <v>10</v>
      </c>
      <c r="G143">
        <v>44.624233100838403</v>
      </c>
    </row>
    <row r="144" spans="1:7" x14ac:dyDescent="0.45">
      <c r="A144" s="1">
        <v>44978</v>
      </c>
      <c r="B144" t="s">
        <v>12</v>
      </c>
      <c r="C144" t="s">
        <v>16</v>
      </c>
      <c r="D144" t="s">
        <v>11</v>
      </c>
      <c r="E144">
        <v>228.28355034221499</v>
      </c>
      <c r="F144">
        <v>18</v>
      </c>
      <c r="G144">
        <v>15.3056484285843</v>
      </c>
    </row>
    <row r="145" spans="1:7" x14ac:dyDescent="0.45">
      <c r="A145" s="1">
        <v>45022</v>
      </c>
      <c r="B145" t="s">
        <v>14</v>
      </c>
      <c r="C145" t="s">
        <v>8</v>
      </c>
      <c r="D145" t="s">
        <v>9</v>
      </c>
      <c r="E145">
        <v>764.85805563079703</v>
      </c>
      <c r="F145">
        <v>15</v>
      </c>
      <c r="G145">
        <v>74.023779188416796</v>
      </c>
    </row>
    <row r="146" spans="1:7" x14ac:dyDescent="0.45">
      <c r="A146" s="1">
        <v>45148</v>
      </c>
      <c r="B146" t="s">
        <v>12</v>
      </c>
      <c r="C146" t="s">
        <v>10</v>
      </c>
      <c r="D146" t="s">
        <v>17</v>
      </c>
      <c r="E146">
        <v>547.046293428029</v>
      </c>
      <c r="F146">
        <v>8</v>
      </c>
      <c r="G146">
        <v>103.330147926767</v>
      </c>
    </row>
    <row r="147" spans="1:7" x14ac:dyDescent="0.45">
      <c r="A147" s="1">
        <v>45157</v>
      </c>
      <c r="B147" t="s">
        <v>13</v>
      </c>
      <c r="C147" t="s">
        <v>16</v>
      </c>
      <c r="D147" t="s">
        <v>20</v>
      </c>
      <c r="E147">
        <v>158.10543503168299</v>
      </c>
      <c r="F147">
        <v>9</v>
      </c>
      <c r="G147">
        <v>19.421714044661499</v>
      </c>
    </row>
    <row r="148" spans="1:7" x14ac:dyDescent="0.45">
      <c r="A148" s="1">
        <v>45163</v>
      </c>
      <c r="B148" t="s">
        <v>18</v>
      </c>
      <c r="C148" t="s">
        <v>15</v>
      </c>
      <c r="D148" t="s">
        <v>9</v>
      </c>
      <c r="E148">
        <v>386.88278434925701</v>
      </c>
      <c r="F148">
        <v>5</v>
      </c>
      <c r="G148">
        <v>59.714853107551001</v>
      </c>
    </row>
    <row r="149" spans="1:7" x14ac:dyDescent="0.45">
      <c r="A149" s="1">
        <v>45069</v>
      </c>
      <c r="B149" t="s">
        <v>12</v>
      </c>
      <c r="C149" t="s">
        <v>10</v>
      </c>
      <c r="D149" t="s">
        <v>20</v>
      </c>
      <c r="E149">
        <v>420.32501838394899</v>
      </c>
      <c r="F149">
        <v>10</v>
      </c>
      <c r="G149">
        <v>60.617895521755898</v>
      </c>
    </row>
    <row r="150" spans="1:7" x14ac:dyDescent="0.45">
      <c r="A150" s="1">
        <v>45097</v>
      </c>
      <c r="B150" t="s">
        <v>14</v>
      </c>
      <c r="C150" t="s">
        <v>10</v>
      </c>
      <c r="D150" t="s">
        <v>9</v>
      </c>
      <c r="E150">
        <v>756.29140356352605</v>
      </c>
      <c r="F150">
        <v>6</v>
      </c>
      <c r="G150">
        <v>203.42441145727</v>
      </c>
    </row>
    <row r="151" spans="1:7" x14ac:dyDescent="0.45">
      <c r="A151" s="1">
        <v>44955</v>
      </c>
      <c r="B151" t="s">
        <v>13</v>
      </c>
      <c r="C151" t="s">
        <v>15</v>
      </c>
      <c r="D151" t="s">
        <v>11</v>
      </c>
      <c r="E151">
        <v>30.464655202985401</v>
      </c>
      <c r="F151">
        <v>16</v>
      </c>
      <c r="G151">
        <v>8.4181382252650696</v>
      </c>
    </row>
    <row r="152" spans="1:7" x14ac:dyDescent="0.45">
      <c r="A152" s="1">
        <v>44962</v>
      </c>
      <c r="B152" t="s">
        <v>12</v>
      </c>
      <c r="C152" t="s">
        <v>10</v>
      </c>
      <c r="D152" t="s">
        <v>11</v>
      </c>
      <c r="E152">
        <v>276.32945033032701</v>
      </c>
      <c r="F152">
        <v>3</v>
      </c>
      <c r="G152">
        <v>47.871104770057997</v>
      </c>
    </row>
    <row r="153" spans="1:7" x14ac:dyDescent="0.45">
      <c r="A153" s="1">
        <v>44939</v>
      </c>
      <c r="B153" t="s">
        <v>7</v>
      </c>
      <c r="C153" t="s">
        <v>16</v>
      </c>
      <c r="D153" t="s">
        <v>9</v>
      </c>
      <c r="E153">
        <v>522.42033830236596</v>
      </c>
      <c r="F153">
        <v>10</v>
      </c>
      <c r="G153">
        <v>69.241062729222605</v>
      </c>
    </row>
    <row r="154" spans="1:7" x14ac:dyDescent="0.45">
      <c r="A154" s="1">
        <v>45086</v>
      </c>
      <c r="B154" t="s">
        <v>18</v>
      </c>
      <c r="C154" t="s">
        <v>8</v>
      </c>
      <c r="D154" t="s">
        <v>20</v>
      </c>
      <c r="E154">
        <v>276.15827502831399</v>
      </c>
      <c r="F154">
        <v>11</v>
      </c>
      <c r="G154">
        <v>21.181388298691299</v>
      </c>
    </row>
    <row r="155" spans="1:7" x14ac:dyDescent="0.45">
      <c r="A155" s="1">
        <v>45253</v>
      </c>
      <c r="B155" t="s">
        <v>12</v>
      </c>
      <c r="C155" t="s">
        <v>10</v>
      </c>
      <c r="D155" t="s">
        <v>17</v>
      </c>
      <c r="E155">
        <v>632.14970694480803</v>
      </c>
      <c r="F155">
        <v>11</v>
      </c>
      <c r="G155">
        <v>182.28082304767199</v>
      </c>
    </row>
    <row r="156" spans="1:7" x14ac:dyDescent="0.45">
      <c r="A156" s="1">
        <v>45113</v>
      </c>
      <c r="B156" t="s">
        <v>13</v>
      </c>
      <c r="C156" t="s">
        <v>16</v>
      </c>
      <c r="D156" t="s">
        <v>17</v>
      </c>
      <c r="E156">
        <v>487.04880448186998</v>
      </c>
      <c r="F156">
        <v>17</v>
      </c>
      <c r="G156">
        <v>31.685805601914801</v>
      </c>
    </row>
    <row r="157" spans="1:7" x14ac:dyDescent="0.45">
      <c r="A157" s="1">
        <v>45169</v>
      </c>
      <c r="B157" t="s">
        <v>7</v>
      </c>
      <c r="C157" t="s">
        <v>19</v>
      </c>
      <c r="D157" t="s">
        <v>11</v>
      </c>
      <c r="E157">
        <v>368.09315231098401</v>
      </c>
      <c r="F157">
        <v>4</v>
      </c>
      <c r="G157">
        <v>45.795414854636199</v>
      </c>
    </row>
    <row r="158" spans="1:7" x14ac:dyDescent="0.45">
      <c r="A158" s="1">
        <v>45012</v>
      </c>
      <c r="B158" t="s">
        <v>13</v>
      </c>
      <c r="C158" t="s">
        <v>16</v>
      </c>
      <c r="D158" t="s">
        <v>17</v>
      </c>
      <c r="E158">
        <v>949.71654060180697</v>
      </c>
      <c r="F158">
        <v>4</v>
      </c>
      <c r="G158">
        <v>118.25542739146501</v>
      </c>
    </row>
    <row r="159" spans="1:7" x14ac:dyDescent="0.45">
      <c r="A159" s="1">
        <v>45210</v>
      </c>
      <c r="B159" t="s">
        <v>13</v>
      </c>
      <c r="C159" t="s">
        <v>8</v>
      </c>
      <c r="D159" t="s">
        <v>11</v>
      </c>
      <c r="E159">
        <v>635.83790419459206</v>
      </c>
      <c r="F159">
        <v>17</v>
      </c>
      <c r="G159">
        <v>82.722715779891203</v>
      </c>
    </row>
    <row r="160" spans="1:7" x14ac:dyDescent="0.45">
      <c r="A160" s="1">
        <v>44992</v>
      </c>
      <c r="B160" t="s">
        <v>7</v>
      </c>
      <c r="C160" t="s">
        <v>16</v>
      </c>
      <c r="D160" t="s">
        <v>17</v>
      </c>
      <c r="E160">
        <v>138.64195854526099</v>
      </c>
      <c r="F160">
        <v>9</v>
      </c>
      <c r="G160">
        <v>12.6263603558894</v>
      </c>
    </row>
    <row r="161" spans="1:7" x14ac:dyDescent="0.45">
      <c r="A161" s="1">
        <v>45096</v>
      </c>
      <c r="B161" t="s">
        <v>13</v>
      </c>
      <c r="C161" t="s">
        <v>15</v>
      </c>
      <c r="D161" t="s">
        <v>9</v>
      </c>
      <c r="E161">
        <v>564.49078046896102</v>
      </c>
      <c r="F161">
        <v>19</v>
      </c>
      <c r="G161">
        <v>138.74639086727399</v>
      </c>
    </row>
    <row r="162" spans="1:7" x14ac:dyDescent="0.45">
      <c r="A162" s="1">
        <v>44971</v>
      </c>
      <c r="B162" t="s">
        <v>7</v>
      </c>
      <c r="C162" t="s">
        <v>8</v>
      </c>
      <c r="D162" t="s">
        <v>11</v>
      </c>
      <c r="E162">
        <v>782.92453466889197</v>
      </c>
      <c r="F162">
        <v>5</v>
      </c>
      <c r="G162">
        <v>63.122872127858599</v>
      </c>
    </row>
    <row r="163" spans="1:7" x14ac:dyDescent="0.45">
      <c r="A163" s="1">
        <v>44988</v>
      </c>
      <c r="B163" t="s">
        <v>12</v>
      </c>
      <c r="C163" t="s">
        <v>19</v>
      </c>
      <c r="D163" t="s">
        <v>11</v>
      </c>
      <c r="E163">
        <v>711.40480051786903</v>
      </c>
      <c r="F163">
        <v>6</v>
      </c>
      <c r="G163">
        <v>148.489151326474</v>
      </c>
    </row>
    <row r="164" spans="1:7" x14ac:dyDescent="0.45">
      <c r="A164" s="1">
        <v>45060</v>
      </c>
      <c r="B164" t="s">
        <v>7</v>
      </c>
      <c r="C164" t="s">
        <v>15</v>
      </c>
      <c r="D164" t="s">
        <v>9</v>
      </c>
      <c r="E164">
        <v>180.36833700230599</v>
      </c>
      <c r="F164">
        <v>3</v>
      </c>
      <c r="G164">
        <v>14.602892320433201</v>
      </c>
    </row>
    <row r="165" spans="1:7" x14ac:dyDescent="0.45">
      <c r="A165" s="1">
        <v>45210</v>
      </c>
      <c r="B165" t="s">
        <v>7</v>
      </c>
      <c r="C165" t="s">
        <v>16</v>
      </c>
      <c r="D165" t="s">
        <v>11</v>
      </c>
      <c r="E165">
        <v>972.69579904970203</v>
      </c>
      <c r="F165">
        <v>1</v>
      </c>
      <c r="G165">
        <v>65.787219544975301</v>
      </c>
    </row>
    <row r="166" spans="1:7" x14ac:dyDescent="0.45">
      <c r="A166" s="1">
        <v>44954</v>
      </c>
      <c r="B166" t="s">
        <v>18</v>
      </c>
      <c r="C166" t="s">
        <v>8</v>
      </c>
      <c r="D166" t="s">
        <v>17</v>
      </c>
      <c r="E166">
        <v>454.32550928913901</v>
      </c>
      <c r="F166">
        <v>16</v>
      </c>
      <c r="G166">
        <v>126.01053107062</v>
      </c>
    </row>
    <row r="167" spans="1:7" x14ac:dyDescent="0.45">
      <c r="A167" s="1">
        <v>45034</v>
      </c>
      <c r="B167" t="s">
        <v>7</v>
      </c>
      <c r="C167" t="s">
        <v>19</v>
      </c>
      <c r="D167" t="s">
        <v>17</v>
      </c>
      <c r="E167">
        <v>167.43475370285799</v>
      </c>
      <c r="F167">
        <v>11</v>
      </c>
      <c r="G167">
        <v>16.330278475243102</v>
      </c>
    </row>
    <row r="168" spans="1:7" x14ac:dyDescent="0.45">
      <c r="A168" s="1">
        <v>44970</v>
      </c>
      <c r="B168" t="s">
        <v>7</v>
      </c>
      <c r="C168" t="s">
        <v>15</v>
      </c>
      <c r="D168" t="s">
        <v>11</v>
      </c>
      <c r="E168">
        <v>188.39379658686599</v>
      </c>
      <c r="F168">
        <v>13</v>
      </c>
      <c r="G168">
        <v>48.099298470606698</v>
      </c>
    </row>
    <row r="169" spans="1:7" x14ac:dyDescent="0.45">
      <c r="A169" s="1">
        <v>45266</v>
      </c>
      <c r="B169" t="s">
        <v>12</v>
      </c>
      <c r="C169" t="s">
        <v>19</v>
      </c>
      <c r="D169" t="s">
        <v>17</v>
      </c>
      <c r="E169">
        <v>107.252642267189</v>
      </c>
      <c r="F169">
        <v>10</v>
      </c>
      <c r="G169">
        <v>19.9659071099898</v>
      </c>
    </row>
    <row r="170" spans="1:7" x14ac:dyDescent="0.45">
      <c r="A170" s="1">
        <v>45212</v>
      </c>
      <c r="B170" t="s">
        <v>18</v>
      </c>
      <c r="C170" t="s">
        <v>16</v>
      </c>
      <c r="D170" t="s">
        <v>20</v>
      </c>
      <c r="E170">
        <v>805.48292735058499</v>
      </c>
      <c r="F170">
        <v>3</v>
      </c>
      <c r="G170">
        <v>55.952170699479197</v>
      </c>
    </row>
    <row r="171" spans="1:7" x14ac:dyDescent="0.45">
      <c r="A171" s="1">
        <v>45257</v>
      </c>
      <c r="B171" t="s">
        <v>14</v>
      </c>
      <c r="C171" t="s">
        <v>19</v>
      </c>
      <c r="D171" t="s">
        <v>11</v>
      </c>
      <c r="E171">
        <v>130.81018937863001</v>
      </c>
      <c r="F171">
        <v>9</v>
      </c>
      <c r="G171">
        <v>37.786099184802303</v>
      </c>
    </row>
    <row r="172" spans="1:7" x14ac:dyDescent="0.45">
      <c r="A172" s="1">
        <v>45054</v>
      </c>
      <c r="B172" t="s">
        <v>12</v>
      </c>
      <c r="C172" t="s">
        <v>10</v>
      </c>
      <c r="D172" t="s">
        <v>9</v>
      </c>
      <c r="E172">
        <v>133.87400457032899</v>
      </c>
      <c r="F172">
        <v>12</v>
      </c>
      <c r="G172">
        <v>14.9591203281581</v>
      </c>
    </row>
    <row r="173" spans="1:7" x14ac:dyDescent="0.45">
      <c r="A173" s="1">
        <v>45274</v>
      </c>
      <c r="B173" t="s">
        <v>12</v>
      </c>
      <c r="C173" t="s">
        <v>15</v>
      </c>
      <c r="D173" t="s">
        <v>20</v>
      </c>
      <c r="E173">
        <v>851.96689861322898</v>
      </c>
      <c r="F173">
        <v>14</v>
      </c>
      <c r="G173">
        <v>225.695689627501</v>
      </c>
    </row>
    <row r="174" spans="1:7" x14ac:dyDescent="0.45">
      <c r="A174" s="1">
        <v>45157</v>
      </c>
      <c r="B174" t="s">
        <v>14</v>
      </c>
      <c r="C174" t="s">
        <v>19</v>
      </c>
      <c r="D174" t="s">
        <v>11</v>
      </c>
      <c r="E174">
        <v>351.15804360308402</v>
      </c>
      <c r="F174">
        <v>1</v>
      </c>
      <c r="G174">
        <v>32.377650023137399</v>
      </c>
    </row>
    <row r="175" spans="1:7" x14ac:dyDescent="0.45">
      <c r="A175" s="1">
        <v>45116</v>
      </c>
      <c r="B175" t="s">
        <v>7</v>
      </c>
      <c r="C175" t="s">
        <v>16</v>
      </c>
      <c r="D175" t="s">
        <v>9</v>
      </c>
      <c r="E175">
        <v>40.549325264991701</v>
      </c>
      <c r="F175">
        <v>18</v>
      </c>
      <c r="G175">
        <v>10.684168184673201</v>
      </c>
    </row>
    <row r="176" spans="1:7" x14ac:dyDescent="0.45">
      <c r="A176" s="1">
        <v>45151</v>
      </c>
      <c r="B176" t="s">
        <v>13</v>
      </c>
      <c r="C176" t="s">
        <v>16</v>
      </c>
      <c r="D176" t="s">
        <v>17</v>
      </c>
      <c r="E176">
        <v>61.376346523226701</v>
      </c>
      <c r="F176">
        <v>17</v>
      </c>
      <c r="G176">
        <v>3.2718013774029</v>
      </c>
    </row>
    <row r="177" spans="1:7" x14ac:dyDescent="0.45">
      <c r="A177" s="1">
        <v>45209</v>
      </c>
      <c r="B177" t="s">
        <v>18</v>
      </c>
      <c r="C177" t="s">
        <v>19</v>
      </c>
      <c r="D177" t="s">
        <v>9</v>
      </c>
      <c r="E177">
        <v>150.748742236856</v>
      </c>
      <c r="F177">
        <v>9</v>
      </c>
      <c r="G177">
        <v>26.825002144156102</v>
      </c>
    </row>
    <row r="178" spans="1:7" x14ac:dyDescent="0.45">
      <c r="A178" s="1">
        <v>45047</v>
      </c>
      <c r="B178" t="s">
        <v>13</v>
      </c>
      <c r="C178" t="s">
        <v>16</v>
      </c>
      <c r="D178" t="s">
        <v>20</v>
      </c>
      <c r="E178">
        <v>221.25941449593199</v>
      </c>
      <c r="F178">
        <v>9</v>
      </c>
      <c r="G178">
        <v>53.624574377560002</v>
      </c>
    </row>
    <row r="179" spans="1:7" x14ac:dyDescent="0.45">
      <c r="A179" s="1">
        <v>45042</v>
      </c>
      <c r="B179" t="s">
        <v>14</v>
      </c>
      <c r="C179" t="s">
        <v>8</v>
      </c>
      <c r="D179" t="s">
        <v>17</v>
      </c>
      <c r="E179">
        <v>668.49473229602097</v>
      </c>
      <c r="F179">
        <v>10</v>
      </c>
      <c r="G179">
        <v>189.65120641926501</v>
      </c>
    </row>
    <row r="180" spans="1:7" x14ac:dyDescent="0.45">
      <c r="A180" s="1">
        <v>45159</v>
      </c>
      <c r="B180" t="s">
        <v>12</v>
      </c>
      <c r="C180" t="s">
        <v>8</v>
      </c>
      <c r="D180" t="s">
        <v>11</v>
      </c>
      <c r="E180">
        <v>165.753017201809</v>
      </c>
      <c r="F180">
        <v>19</v>
      </c>
      <c r="G180">
        <v>45.963400190729502</v>
      </c>
    </row>
    <row r="181" spans="1:7" x14ac:dyDescent="0.45">
      <c r="A181" s="1">
        <v>45185</v>
      </c>
      <c r="B181" t="s">
        <v>12</v>
      </c>
      <c r="C181" t="s">
        <v>8</v>
      </c>
      <c r="D181" t="s">
        <v>17</v>
      </c>
      <c r="E181">
        <v>127.685647265301</v>
      </c>
      <c r="F181">
        <v>15</v>
      </c>
      <c r="G181">
        <v>32.547865358997299</v>
      </c>
    </row>
    <row r="182" spans="1:7" x14ac:dyDescent="0.45">
      <c r="A182" s="1">
        <v>45285</v>
      </c>
      <c r="B182" t="s">
        <v>18</v>
      </c>
      <c r="C182" t="s">
        <v>10</v>
      </c>
      <c r="D182" t="s">
        <v>11</v>
      </c>
      <c r="E182">
        <v>767.07195006151596</v>
      </c>
      <c r="F182">
        <v>5</v>
      </c>
      <c r="G182">
        <v>208.68026515619201</v>
      </c>
    </row>
    <row r="183" spans="1:7" x14ac:dyDescent="0.45">
      <c r="A183" s="1">
        <v>45124</v>
      </c>
      <c r="B183" t="s">
        <v>12</v>
      </c>
      <c r="C183" t="s">
        <v>19</v>
      </c>
      <c r="D183" t="s">
        <v>11</v>
      </c>
      <c r="E183">
        <v>674.34473102131506</v>
      </c>
      <c r="F183">
        <v>15</v>
      </c>
      <c r="G183">
        <v>67.3029229160543</v>
      </c>
    </row>
    <row r="184" spans="1:7" x14ac:dyDescent="0.45">
      <c r="A184" s="1">
        <v>45063</v>
      </c>
      <c r="B184" t="s">
        <v>12</v>
      </c>
      <c r="C184" t="s">
        <v>10</v>
      </c>
      <c r="D184" t="s">
        <v>9</v>
      </c>
      <c r="E184">
        <v>440.97097924068299</v>
      </c>
      <c r="F184">
        <v>2</v>
      </c>
      <c r="G184">
        <v>53.377805753240402</v>
      </c>
    </row>
    <row r="185" spans="1:7" x14ac:dyDescent="0.45">
      <c r="A185" s="1">
        <v>45244</v>
      </c>
      <c r="B185" t="s">
        <v>18</v>
      </c>
      <c r="C185" t="s">
        <v>16</v>
      </c>
      <c r="D185" t="s">
        <v>9</v>
      </c>
      <c r="E185">
        <v>553.81667376530197</v>
      </c>
      <c r="F185">
        <v>13</v>
      </c>
      <c r="G185">
        <v>67.699730511926802</v>
      </c>
    </row>
    <row r="186" spans="1:7" x14ac:dyDescent="0.45">
      <c r="A186" s="1">
        <v>45091</v>
      </c>
      <c r="B186" t="s">
        <v>18</v>
      </c>
      <c r="C186" t="s">
        <v>10</v>
      </c>
      <c r="D186" t="s">
        <v>9</v>
      </c>
      <c r="E186">
        <v>318.86418012315397</v>
      </c>
      <c r="F186">
        <v>16</v>
      </c>
      <c r="G186">
        <v>46.000457148924902</v>
      </c>
    </row>
    <row r="187" spans="1:7" x14ac:dyDescent="0.45">
      <c r="A187" s="1">
        <v>45151</v>
      </c>
      <c r="B187" t="s">
        <v>14</v>
      </c>
      <c r="C187" t="s">
        <v>16</v>
      </c>
      <c r="D187" t="s">
        <v>20</v>
      </c>
      <c r="E187">
        <v>487.67541603300702</v>
      </c>
      <c r="F187">
        <v>15</v>
      </c>
      <c r="G187">
        <v>72.336976192769896</v>
      </c>
    </row>
    <row r="188" spans="1:7" x14ac:dyDescent="0.45">
      <c r="A188" s="1">
        <v>45233</v>
      </c>
      <c r="B188" t="s">
        <v>12</v>
      </c>
      <c r="C188" t="s">
        <v>16</v>
      </c>
      <c r="D188" t="s">
        <v>20</v>
      </c>
      <c r="E188">
        <v>511.60592249291801</v>
      </c>
      <c r="F188">
        <v>10</v>
      </c>
      <c r="G188">
        <v>95.2297284292423</v>
      </c>
    </row>
    <row r="189" spans="1:7" x14ac:dyDescent="0.45">
      <c r="A189" s="1">
        <v>45160</v>
      </c>
      <c r="B189" t="s">
        <v>12</v>
      </c>
      <c r="C189" t="s">
        <v>15</v>
      </c>
      <c r="D189" t="s">
        <v>9</v>
      </c>
      <c r="E189">
        <v>393.364898466314</v>
      </c>
      <c r="F189">
        <v>14</v>
      </c>
      <c r="G189">
        <v>35.391016644180397</v>
      </c>
    </row>
    <row r="190" spans="1:7" x14ac:dyDescent="0.45">
      <c r="A190" s="1">
        <v>45098</v>
      </c>
      <c r="B190" t="s">
        <v>14</v>
      </c>
      <c r="C190" t="s">
        <v>8</v>
      </c>
      <c r="D190" t="s">
        <v>20</v>
      </c>
      <c r="E190">
        <v>907.50648856544103</v>
      </c>
      <c r="F190">
        <v>10</v>
      </c>
      <c r="G190">
        <v>202.20303257452099</v>
      </c>
    </row>
    <row r="191" spans="1:7" x14ac:dyDescent="0.45">
      <c r="A191" s="1">
        <v>45078</v>
      </c>
      <c r="B191" t="s">
        <v>7</v>
      </c>
      <c r="C191" t="s">
        <v>16</v>
      </c>
      <c r="D191" t="s">
        <v>17</v>
      </c>
      <c r="E191">
        <v>25.901246331195999</v>
      </c>
      <c r="F191">
        <v>14</v>
      </c>
      <c r="G191">
        <v>2.3801078694078202</v>
      </c>
    </row>
    <row r="192" spans="1:7" x14ac:dyDescent="0.45">
      <c r="A192" s="1">
        <v>45241</v>
      </c>
      <c r="B192" t="s">
        <v>7</v>
      </c>
      <c r="C192" t="s">
        <v>15</v>
      </c>
      <c r="D192" t="s">
        <v>17</v>
      </c>
      <c r="E192">
        <v>784.34955046033303</v>
      </c>
      <c r="F192">
        <v>9</v>
      </c>
      <c r="G192">
        <v>100.065057133699</v>
      </c>
    </row>
    <row r="193" spans="1:7" x14ac:dyDescent="0.45">
      <c r="A193" s="1">
        <v>45086</v>
      </c>
      <c r="B193" t="s">
        <v>7</v>
      </c>
      <c r="C193" t="s">
        <v>8</v>
      </c>
      <c r="D193" t="s">
        <v>20</v>
      </c>
      <c r="E193">
        <v>133.139002928911</v>
      </c>
      <c r="F193">
        <v>14</v>
      </c>
      <c r="G193">
        <v>23.410667350952</v>
      </c>
    </row>
    <row r="194" spans="1:7" x14ac:dyDescent="0.45">
      <c r="A194" s="1">
        <v>45022</v>
      </c>
      <c r="B194" t="s">
        <v>14</v>
      </c>
      <c r="C194" t="s">
        <v>16</v>
      </c>
      <c r="D194" t="s">
        <v>20</v>
      </c>
      <c r="E194">
        <v>799.57188693182695</v>
      </c>
      <c r="F194">
        <v>3</v>
      </c>
      <c r="G194">
        <v>199.181464998184</v>
      </c>
    </row>
    <row r="195" spans="1:7" x14ac:dyDescent="0.45">
      <c r="A195" s="1">
        <v>45159</v>
      </c>
      <c r="B195" t="s">
        <v>12</v>
      </c>
      <c r="C195" t="s">
        <v>16</v>
      </c>
      <c r="D195" t="s">
        <v>17</v>
      </c>
      <c r="E195">
        <v>619.75279651995402</v>
      </c>
      <c r="F195">
        <v>16</v>
      </c>
      <c r="G195">
        <v>145.55967113603899</v>
      </c>
    </row>
    <row r="196" spans="1:7" x14ac:dyDescent="0.45">
      <c r="A196" s="1">
        <v>45106</v>
      </c>
      <c r="B196" t="s">
        <v>14</v>
      </c>
      <c r="C196" t="s">
        <v>10</v>
      </c>
      <c r="D196" t="s">
        <v>11</v>
      </c>
      <c r="E196">
        <v>844.84531002703795</v>
      </c>
      <c r="F196">
        <v>2</v>
      </c>
      <c r="G196">
        <v>178.58643387004</v>
      </c>
    </row>
    <row r="197" spans="1:7" x14ac:dyDescent="0.45">
      <c r="A197" s="1">
        <v>45039</v>
      </c>
      <c r="B197" t="s">
        <v>14</v>
      </c>
      <c r="C197" t="s">
        <v>10</v>
      </c>
      <c r="D197" t="s">
        <v>17</v>
      </c>
      <c r="E197">
        <v>106.539182384488</v>
      </c>
      <c r="F197">
        <v>10</v>
      </c>
      <c r="G197">
        <v>9.4759480741187208</v>
      </c>
    </row>
    <row r="198" spans="1:7" x14ac:dyDescent="0.45">
      <c r="A198" s="1">
        <v>45244</v>
      </c>
      <c r="B198" t="s">
        <v>7</v>
      </c>
      <c r="C198" t="s">
        <v>8</v>
      </c>
      <c r="D198" t="s">
        <v>17</v>
      </c>
      <c r="E198">
        <v>563.39082775877603</v>
      </c>
      <c r="F198">
        <v>3</v>
      </c>
      <c r="G198">
        <v>105.21962390992501</v>
      </c>
    </row>
    <row r="199" spans="1:7" x14ac:dyDescent="0.45">
      <c r="A199" s="1">
        <v>44978</v>
      </c>
      <c r="B199" t="s">
        <v>13</v>
      </c>
      <c r="C199" t="s">
        <v>16</v>
      </c>
      <c r="D199" t="s">
        <v>20</v>
      </c>
      <c r="E199">
        <v>506.077001459575</v>
      </c>
      <c r="F199">
        <v>11</v>
      </c>
      <c r="G199">
        <v>36.367515927732597</v>
      </c>
    </row>
    <row r="200" spans="1:7" x14ac:dyDescent="0.45">
      <c r="A200" s="1">
        <v>45194</v>
      </c>
      <c r="B200" t="s">
        <v>12</v>
      </c>
      <c r="C200" t="s">
        <v>19</v>
      </c>
      <c r="D200" t="s">
        <v>17</v>
      </c>
      <c r="E200">
        <v>709.13125113372496</v>
      </c>
      <c r="F200">
        <v>11</v>
      </c>
      <c r="G200">
        <v>102.35656798008699</v>
      </c>
    </row>
    <row r="201" spans="1:7" x14ac:dyDescent="0.45">
      <c r="A201" s="1">
        <v>45221</v>
      </c>
      <c r="B201" t="s">
        <v>7</v>
      </c>
      <c r="C201" t="s">
        <v>10</v>
      </c>
      <c r="D201" t="s">
        <v>20</v>
      </c>
      <c r="E201">
        <v>538.94764637473895</v>
      </c>
      <c r="F201">
        <v>13</v>
      </c>
      <c r="G201">
        <v>82.663322502942407</v>
      </c>
    </row>
    <row r="202" spans="1:7" x14ac:dyDescent="0.45">
      <c r="A202" s="1">
        <v>45039</v>
      </c>
      <c r="B202" t="s">
        <v>13</v>
      </c>
      <c r="C202" t="s">
        <v>8</v>
      </c>
      <c r="D202" t="s">
        <v>20</v>
      </c>
      <c r="E202">
        <v>545.32722146177298</v>
      </c>
      <c r="F202">
        <v>7</v>
      </c>
      <c r="G202">
        <v>32.693926486925299</v>
      </c>
    </row>
    <row r="203" spans="1:7" x14ac:dyDescent="0.45">
      <c r="A203" s="1">
        <v>45027</v>
      </c>
      <c r="B203" t="s">
        <v>13</v>
      </c>
      <c r="C203" t="s">
        <v>16</v>
      </c>
      <c r="D203" t="s">
        <v>9</v>
      </c>
      <c r="E203">
        <v>435.29998414030399</v>
      </c>
      <c r="F203">
        <v>17</v>
      </c>
      <c r="G203">
        <v>51.581753045492903</v>
      </c>
    </row>
    <row r="204" spans="1:7" x14ac:dyDescent="0.45">
      <c r="A204" s="1">
        <v>45039</v>
      </c>
      <c r="B204" t="s">
        <v>18</v>
      </c>
      <c r="C204" t="s">
        <v>16</v>
      </c>
      <c r="D204" t="s">
        <v>17</v>
      </c>
      <c r="E204">
        <v>315.74607976726702</v>
      </c>
      <c r="F204">
        <v>2</v>
      </c>
      <c r="G204">
        <v>91.222947218631205</v>
      </c>
    </row>
    <row r="205" spans="1:7" x14ac:dyDescent="0.45">
      <c r="A205" s="1">
        <v>45007</v>
      </c>
      <c r="B205" t="s">
        <v>12</v>
      </c>
      <c r="C205" t="s">
        <v>19</v>
      </c>
      <c r="D205" t="s">
        <v>11</v>
      </c>
      <c r="E205">
        <v>487.44171763967</v>
      </c>
      <c r="F205">
        <v>12</v>
      </c>
      <c r="G205">
        <v>140.58216497140899</v>
      </c>
    </row>
    <row r="206" spans="1:7" x14ac:dyDescent="0.45">
      <c r="A206" s="1">
        <v>45113</v>
      </c>
      <c r="B206" t="s">
        <v>13</v>
      </c>
      <c r="C206" t="s">
        <v>8</v>
      </c>
      <c r="D206" t="s">
        <v>9</v>
      </c>
      <c r="E206">
        <v>127.307435180716</v>
      </c>
      <c r="F206">
        <v>10</v>
      </c>
      <c r="G206">
        <v>17.578835164452801</v>
      </c>
    </row>
    <row r="207" spans="1:7" x14ac:dyDescent="0.45">
      <c r="A207" s="1">
        <v>45039</v>
      </c>
      <c r="B207" t="s">
        <v>7</v>
      </c>
      <c r="C207" t="s">
        <v>16</v>
      </c>
      <c r="D207" t="s">
        <v>20</v>
      </c>
      <c r="E207">
        <v>961.89820559325301</v>
      </c>
      <c r="F207">
        <v>18</v>
      </c>
      <c r="G207">
        <v>58.459389644229297</v>
      </c>
    </row>
    <row r="208" spans="1:7" x14ac:dyDescent="0.45">
      <c r="A208" s="1">
        <v>44928</v>
      </c>
      <c r="B208" t="s">
        <v>18</v>
      </c>
      <c r="C208" t="s">
        <v>10</v>
      </c>
      <c r="D208" t="s">
        <v>20</v>
      </c>
      <c r="E208">
        <v>717.26665599033197</v>
      </c>
      <c r="F208">
        <v>11</v>
      </c>
      <c r="G208">
        <v>67.978039858695595</v>
      </c>
    </row>
    <row r="209" spans="1:7" x14ac:dyDescent="0.45">
      <c r="A209" s="1">
        <v>45056</v>
      </c>
      <c r="B209" t="s">
        <v>12</v>
      </c>
      <c r="C209" t="s">
        <v>19</v>
      </c>
      <c r="D209" t="s">
        <v>11</v>
      </c>
      <c r="E209">
        <v>952.94244552096802</v>
      </c>
      <c r="F209">
        <v>16</v>
      </c>
      <c r="G209">
        <v>141.08736808889699</v>
      </c>
    </row>
    <row r="210" spans="1:7" x14ac:dyDescent="0.45">
      <c r="A210" s="1">
        <v>45146</v>
      </c>
      <c r="B210" t="s">
        <v>14</v>
      </c>
      <c r="C210" t="s">
        <v>8</v>
      </c>
      <c r="D210" t="s">
        <v>20</v>
      </c>
      <c r="E210">
        <v>234.460108506663</v>
      </c>
      <c r="F210">
        <v>17</v>
      </c>
      <c r="G210">
        <v>67.277138131902802</v>
      </c>
    </row>
    <row r="211" spans="1:7" x14ac:dyDescent="0.45">
      <c r="A211" s="1">
        <v>44980</v>
      </c>
      <c r="B211" t="s">
        <v>7</v>
      </c>
      <c r="C211" t="s">
        <v>19</v>
      </c>
      <c r="D211" t="s">
        <v>17</v>
      </c>
      <c r="E211">
        <v>880.54760997476205</v>
      </c>
      <c r="F211">
        <v>19</v>
      </c>
      <c r="G211">
        <v>75.110504980823805</v>
      </c>
    </row>
    <row r="212" spans="1:7" x14ac:dyDescent="0.45">
      <c r="A212" s="1">
        <v>45269</v>
      </c>
      <c r="B212" t="s">
        <v>13</v>
      </c>
      <c r="C212" t="s">
        <v>10</v>
      </c>
      <c r="D212" t="s">
        <v>9</v>
      </c>
      <c r="E212">
        <v>810.70208471790295</v>
      </c>
      <c r="F212">
        <v>18</v>
      </c>
      <c r="G212">
        <v>195.281075780137</v>
      </c>
    </row>
    <row r="213" spans="1:7" x14ac:dyDescent="0.45">
      <c r="A213" s="1">
        <v>45150</v>
      </c>
      <c r="B213" t="s">
        <v>13</v>
      </c>
      <c r="C213" t="s">
        <v>8</v>
      </c>
      <c r="D213" t="s">
        <v>20</v>
      </c>
      <c r="E213">
        <v>680.38088833309598</v>
      </c>
      <c r="F213">
        <v>3</v>
      </c>
      <c r="G213">
        <v>52.5054250881672</v>
      </c>
    </row>
    <row r="214" spans="1:7" x14ac:dyDescent="0.45">
      <c r="A214" s="1">
        <v>45151</v>
      </c>
      <c r="B214" t="s">
        <v>7</v>
      </c>
      <c r="C214" t="s">
        <v>19</v>
      </c>
      <c r="D214" t="s">
        <v>20</v>
      </c>
      <c r="E214">
        <v>628.77889422435305</v>
      </c>
      <c r="F214">
        <v>16</v>
      </c>
      <c r="G214">
        <v>185.687458326556</v>
      </c>
    </row>
    <row r="215" spans="1:7" x14ac:dyDescent="0.45">
      <c r="A215" s="1">
        <v>45052</v>
      </c>
      <c r="B215" t="s">
        <v>13</v>
      </c>
      <c r="C215" t="s">
        <v>15</v>
      </c>
      <c r="D215" t="s">
        <v>11</v>
      </c>
      <c r="E215">
        <v>323.38416861519102</v>
      </c>
      <c r="F215">
        <v>6</v>
      </c>
      <c r="G215">
        <v>47.021392004321399</v>
      </c>
    </row>
    <row r="216" spans="1:7" x14ac:dyDescent="0.45">
      <c r="A216" s="1">
        <v>45056</v>
      </c>
      <c r="B216" t="s">
        <v>18</v>
      </c>
      <c r="C216" t="s">
        <v>10</v>
      </c>
      <c r="D216" t="s">
        <v>17</v>
      </c>
      <c r="E216">
        <v>818.24667711537995</v>
      </c>
      <c r="F216">
        <v>12</v>
      </c>
      <c r="G216">
        <v>199.49560521557501</v>
      </c>
    </row>
    <row r="217" spans="1:7" x14ac:dyDescent="0.45">
      <c r="A217" s="1">
        <v>44979</v>
      </c>
      <c r="B217" t="s">
        <v>12</v>
      </c>
      <c r="C217" t="s">
        <v>10</v>
      </c>
      <c r="D217" t="s">
        <v>20</v>
      </c>
      <c r="E217">
        <v>506.50030686493602</v>
      </c>
      <c r="F217">
        <v>11</v>
      </c>
      <c r="G217">
        <v>68.705637486504102</v>
      </c>
    </row>
    <row r="218" spans="1:7" x14ac:dyDescent="0.45">
      <c r="A218" s="1">
        <v>45098</v>
      </c>
      <c r="B218" t="s">
        <v>18</v>
      </c>
      <c r="C218" t="s">
        <v>10</v>
      </c>
      <c r="D218" t="s">
        <v>11</v>
      </c>
      <c r="E218">
        <v>80.182660132372504</v>
      </c>
      <c r="F218">
        <v>15</v>
      </c>
      <c r="G218">
        <v>16.591173069841702</v>
      </c>
    </row>
    <row r="219" spans="1:7" x14ac:dyDescent="0.45">
      <c r="A219" s="1">
        <v>45144</v>
      </c>
      <c r="B219" t="s">
        <v>13</v>
      </c>
      <c r="C219" t="s">
        <v>15</v>
      </c>
      <c r="D219" t="s">
        <v>20</v>
      </c>
      <c r="E219">
        <v>319.73452924657801</v>
      </c>
      <c r="F219">
        <v>15</v>
      </c>
      <c r="G219">
        <v>31.335269577860601</v>
      </c>
    </row>
    <row r="220" spans="1:7" x14ac:dyDescent="0.45">
      <c r="A220" s="1">
        <v>45086</v>
      </c>
      <c r="B220" t="s">
        <v>14</v>
      </c>
      <c r="C220" t="s">
        <v>15</v>
      </c>
      <c r="D220" t="s">
        <v>11</v>
      </c>
      <c r="E220">
        <v>935.944127559874</v>
      </c>
      <c r="F220">
        <v>16</v>
      </c>
      <c r="G220">
        <v>80.964085255818503</v>
      </c>
    </row>
    <row r="221" spans="1:7" x14ac:dyDescent="0.45">
      <c r="A221" s="1">
        <v>45124</v>
      </c>
      <c r="B221" t="s">
        <v>12</v>
      </c>
      <c r="C221" t="s">
        <v>16</v>
      </c>
      <c r="D221" t="s">
        <v>11</v>
      </c>
      <c r="E221">
        <v>852.17345799879695</v>
      </c>
      <c r="F221">
        <v>10</v>
      </c>
      <c r="G221">
        <v>242.45701331005</v>
      </c>
    </row>
    <row r="222" spans="1:7" x14ac:dyDescent="0.45">
      <c r="A222" s="1">
        <v>45173</v>
      </c>
      <c r="B222" t="s">
        <v>12</v>
      </c>
      <c r="C222" t="s">
        <v>19</v>
      </c>
      <c r="D222" t="s">
        <v>17</v>
      </c>
      <c r="E222">
        <v>982.08664109577296</v>
      </c>
      <c r="F222">
        <v>12</v>
      </c>
      <c r="G222">
        <v>274.40661527174899</v>
      </c>
    </row>
    <row r="223" spans="1:7" x14ac:dyDescent="0.45">
      <c r="A223" s="1">
        <v>45250</v>
      </c>
      <c r="B223" t="s">
        <v>7</v>
      </c>
      <c r="C223" t="s">
        <v>16</v>
      </c>
      <c r="D223" t="s">
        <v>20</v>
      </c>
      <c r="E223">
        <v>631.713448778057</v>
      </c>
      <c r="F223">
        <v>13</v>
      </c>
      <c r="G223">
        <v>171.74218866522401</v>
      </c>
    </row>
    <row r="224" spans="1:7" x14ac:dyDescent="0.45">
      <c r="A224" s="1">
        <v>45129</v>
      </c>
      <c r="B224" t="s">
        <v>7</v>
      </c>
      <c r="C224" t="s">
        <v>19</v>
      </c>
      <c r="D224" t="s">
        <v>17</v>
      </c>
      <c r="E224">
        <v>255.034972409007</v>
      </c>
      <c r="F224">
        <v>4</v>
      </c>
      <c r="G224">
        <v>52.628599297177303</v>
      </c>
    </row>
    <row r="225" spans="1:7" x14ac:dyDescent="0.45">
      <c r="A225" s="1">
        <v>45110</v>
      </c>
      <c r="B225" t="s">
        <v>14</v>
      </c>
      <c r="C225" t="s">
        <v>15</v>
      </c>
      <c r="D225" t="s">
        <v>11</v>
      </c>
      <c r="E225">
        <v>171.186899180095</v>
      </c>
      <c r="F225">
        <v>7</v>
      </c>
      <c r="G225">
        <v>43.150577154993897</v>
      </c>
    </row>
    <row r="226" spans="1:7" x14ac:dyDescent="0.45">
      <c r="A226" s="1">
        <v>45049</v>
      </c>
      <c r="B226" t="s">
        <v>12</v>
      </c>
      <c r="C226" t="s">
        <v>15</v>
      </c>
      <c r="D226" t="s">
        <v>9</v>
      </c>
      <c r="E226">
        <v>195.04529620237699</v>
      </c>
      <c r="F226">
        <v>2</v>
      </c>
      <c r="G226">
        <v>13.1185972623148</v>
      </c>
    </row>
    <row r="227" spans="1:7" x14ac:dyDescent="0.45">
      <c r="A227" s="1">
        <v>45181</v>
      </c>
      <c r="B227" t="s">
        <v>14</v>
      </c>
      <c r="C227" t="s">
        <v>16</v>
      </c>
      <c r="D227" t="s">
        <v>20</v>
      </c>
      <c r="E227">
        <v>29.597701763781799</v>
      </c>
      <c r="F227">
        <v>15</v>
      </c>
      <c r="G227">
        <v>3.9571316421047298</v>
      </c>
    </row>
    <row r="228" spans="1:7" x14ac:dyDescent="0.45">
      <c r="A228" s="1">
        <v>45220</v>
      </c>
      <c r="B228" t="s">
        <v>7</v>
      </c>
      <c r="C228" t="s">
        <v>8</v>
      </c>
      <c r="D228" t="s">
        <v>9</v>
      </c>
      <c r="E228">
        <v>396.775289876079</v>
      </c>
      <c r="F228">
        <v>8</v>
      </c>
      <c r="G228">
        <v>50.956176558942097</v>
      </c>
    </row>
    <row r="229" spans="1:7" x14ac:dyDescent="0.45">
      <c r="A229" s="1">
        <v>45206</v>
      </c>
      <c r="B229" t="s">
        <v>7</v>
      </c>
      <c r="C229" t="s">
        <v>16</v>
      </c>
      <c r="D229" t="s">
        <v>20</v>
      </c>
      <c r="E229">
        <v>199.51340369454701</v>
      </c>
      <c r="F229">
        <v>7</v>
      </c>
      <c r="G229">
        <v>41.680610616047801</v>
      </c>
    </row>
    <row r="230" spans="1:7" x14ac:dyDescent="0.45">
      <c r="A230" s="1">
        <v>45251</v>
      </c>
      <c r="B230" t="s">
        <v>12</v>
      </c>
      <c r="C230" t="s">
        <v>19</v>
      </c>
      <c r="D230" t="s">
        <v>17</v>
      </c>
      <c r="E230">
        <v>417.53890585213497</v>
      </c>
      <c r="F230">
        <v>15</v>
      </c>
      <c r="G230">
        <v>58.033500108730102</v>
      </c>
    </row>
    <row r="231" spans="1:7" x14ac:dyDescent="0.45">
      <c r="A231" s="1">
        <v>45024</v>
      </c>
      <c r="B231" t="s">
        <v>18</v>
      </c>
      <c r="C231" t="s">
        <v>16</v>
      </c>
      <c r="D231" t="s">
        <v>17</v>
      </c>
      <c r="E231">
        <v>935.64448752037697</v>
      </c>
      <c r="F231">
        <v>14</v>
      </c>
      <c r="G231">
        <v>81.519612277094396</v>
      </c>
    </row>
    <row r="232" spans="1:7" x14ac:dyDescent="0.45">
      <c r="A232" s="1">
        <v>45124</v>
      </c>
      <c r="B232" t="s">
        <v>13</v>
      </c>
      <c r="C232" t="s">
        <v>10</v>
      </c>
      <c r="D232" t="s">
        <v>17</v>
      </c>
      <c r="E232">
        <v>436.23480741211802</v>
      </c>
      <c r="F232">
        <v>8</v>
      </c>
      <c r="G232">
        <v>86.86166531328</v>
      </c>
    </row>
    <row r="233" spans="1:7" x14ac:dyDescent="0.45">
      <c r="A233" s="1">
        <v>45166</v>
      </c>
      <c r="B233" t="s">
        <v>7</v>
      </c>
      <c r="C233" t="s">
        <v>19</v>
      </c>
      <c r="D233" t="s">
        <v>17</v>
      </c>
      <c r="E233">
        <v>879.20465201498598</v>
      </c>
      <c r="F233">
        <v>12</v>
      </c>
      <c r="G233">
        <v>222.96276549536401</v>
      </c>
    </row>
    <row r="234" spans="1:7" x14ac:dyDescent="0.45">
      <c r="A234" s="1">
        <v>45070</v>
      </c>
      <c r="B234" t="s">
        <v>7</v>
      </c>
      <c r="C234" t="s">
        <v>19</v>
      </c>
      <c r="D234" t="s">
        <v>17</v>
      </c>
      <c r="E234">
        <v>609.44971894971695</v>
      </c>
      <c r="F234">
        <v>13</v>
      </c>
      <c r="G234">
        <v>88.693750023164498</v>
      </c>
    </row>
    <row r="235" spans="1:7" x14ac:dyDescent="0.45">
      <c r="A235" s="1">
        <v>45023</v>
      </c>
      <c r="B235" t="s">
        <v>18</v>
      </c>
      <c r="C235" t="s">
        <v>8</v>
      </c>
      <c r="D235" t="s">
        <v>9</v>
      </c>
      <c r="E235">
        <v>254.66023911477799</v>
      </c>
      <c r="F235">
        <v>11</v>
      </c>
      <c r="G235">
        <v>21.153907609334802</v>
      </c>
    </row>
    <row r="236" spans="1:7" x14ac:dyDescent="0.45">
      <c r="A236" s="1">
        <v>45127</v>
      </c>
      <c r="B236" t="s">
        <v>18</v>
      </c>
      <c r="C236" t="s">
        <v>15</v>
      </c>
      <c r="D236" t="s">
        <v>17</v>
      </c>
      <c r="E236">
        <v>362.296211666619</v>
      </c>
      <c r="F236">
        <v>17</v>
      </c>
      <c r="G236">
        <v>35.929657774824001</v>
      </c>
    </row>
    <row r="237" spans="1:7" x14ac:dyDescent="0.45">
      <c r="A237" s="1">
        <v>45050</v>
      </c>
      <c r="B237" t="s">
        <v>14</v>
      </c>
      <c r="C237" t="s">
        <v>19</v>
      </c>
      <c r="D237" t="s">
        <v>11</v>
      </c>
      <c r="E237">
        <v>93.080340463215094</v>
      </c>
      <c r="F237">
        <v>17</v>
      </c>
      <c r="G237">
        <v>10.180273748034701</v>
      </c>
    </row>
    <row r="238" spans="1:7" x14ac:dyDescent="0.45">
      <c r="A238" s="1">
        <v>45113</v>
      </c>
      <c r="B238" t="s">
        <v>14</v>
      </c>
      <c r="C238" t="s">
        <v>15</v>
      </c>
      <c r="D238" t="s">
        <v>11</v>
      </c>
      <c r="E238">
        <v>340.12796766004999</v>
      </c>
      <c r="F238">
        <v>4</v>
      </c>
      <c r="G238">
        <v>42.507288085845602</v>
      </c>
    </row>
    <row r="239" spans="1:7" x14ac:dyDescent="0.45">
      <c r="A239" s="1">
        <v>45252</v>
      </c>
      <c r="B239" t="s">
        <v>13</v>
      </c>
      <c r="C239" t="s">
        <v>16</v>
      </c>
      <c r="D239" t="s">
        <v>9</v>
      </c>
      <c r="E239">
        <v>680.76553604849801</v>
      </c>
      <c r="F239">
        <v>8</v>
      </c>
      <c r="G239">
        <v>143.436459488064</v>
      </c>
    </row>
    <row r="240" spans="1:7" x14ac:dyDescent="0.45">
      <c r="A240" s="1">
        <v>45275</v>
      </c>
      <c r="B240" t="s">
        <v>13</v>
      </c>
      <c r="C240" t="s">
        <v>10</v>
      </c>
      <c r="D240" t="s">
        <v>20</v>
      </c>
      <c r="E240">
        <v>81.389982000140805</v>
      </c>
      <c r="F240">
        <v>5</v>
      </c>
      <c r="G240">
        <v>16.2972346424047</v>
      </c>
    </row>
    <row r="241" spans="1:7" x14ac:dyDescent="0.45">
      <c r="A241" s="1">
        <v>45185</v>
      </c>
      <c r="B241" t="s">
        <v>12</v>
      </c>
      <c r="C241" t="s">
        <v>8</v>
      </c>
      <c r="D241" t="s">
        <v>11</v>
      </c>
      <c r="E241">
        <v>213.347394393249</v>
      </c>
      <c r="F241">
        <v>16</v>
      </c>
      <c r="G241">
        <v>47.794075908397701</v>
      </c>
    </row>
    <row r="242" spans="1:7" x14ac:dyDescent="0.45">
      <c r="A242" s="1">
        <v>45074</v>
      </c>
      <c r="B242" t="s">
        <v>14</v>
      </c>
      <c r="C242" t="s">
        <v>15</v>
      </c>
      <c r="D242" t="s">
        <v>20</v>
      </c>
      <c r="E242">
        <v>387.62663099917802</v>
      </c>
      <c r="F242">
        <v>4</v>
      </c>
      <c r="G242">
        <v>54.510187298575502</v>
      </c>
    </row>
    <row r="243" spans="1:7" x14ac:dyDescent="0.45">
      <c r="A243" s="1">
        <v>45178</v>
      </c>
      <c r="B243" t="s">
        <v>7</v>
      </c>
      <c r="C243" t="s">
        <v>19</v>
      </c>
      <c r="D243" t="s">
        <v>9</v>
      </c>
      <c r="E243">
        <v>982.229041645802</v>
      </c>
      <c r="F243">
        <v>15</v>
      </c>
      <c r="G243">
        <v>251.45005806340501</v>
      </c>
    </row>
    <row r="244" spans="1:7" x14ac:dyDescent="0.45">
      <c r="A244" s="1">
        <v>45272</v>
      </c>
      <c r="B244" t="s">
        <v>14</v>
      </c>
      <c r="C244" t="s">
        <v>15</v>
      </c>
      <c r="D244" t="s">
        <v>20</v>
      </c>
      <c r="E244">
        <v>787.01320472929103</v>
      </c>
      <c r="F244">
        <v>12</v>
      </c>
      <c r="G244">
        <v>79.505581299439697</v>
      </c>
    </row>
    <row r="245" spans="1:7" x14ac:dyDescent="0.45">
      <c r="A245" s="1">
        <v>45073</v>
      </c>
      <c r="B245" t="s">
        <v>7</v>
      </c>
      <c r="C245" t="s">
        <v>19</v>
      </c>
      <c r="D245" t="s">
        <v>20</v>
      </c>
      <c r="E245">
        <v>736.15187902718196</v>
      </c>
      <c r="F245">
        <v>5</v>
      </c>
      <c r="G245">
        <v>123.12890085781</v>
      </c>
    </row>
    <row r="246" spans="1:7" x14ac:dyDescent="0.45">
      <c r="A246" s="1">
        <v>45074</v>
      </c>
      <c r="B246" t="s">
        <v>18</v>
      </c>
      <c r="C246" t="s">
        <v>15</v>
      </c>
      <c r="D246" t="s">
        <v>20</v>
      </c>
      <c r="E246">
        <v>125.029046960191</v>
      </c>
      <c r="F246">
        <v>16</v>
      </c>
      <c r="G246">
        <v>31.286603604969301</v>
      </c>
    </row>
    <row r="247" spans="1:7" x14ac:dyDescent="0.45">
      <c r="A247" s="1">
        <v>45278</v>
      </c>
      <c r="B247" t="s">
        <v>14</v>
      </c>
      <c r="C247" t="s">
        <v>19</v>
      </c>
      <c r="D247" t="s">
        <v>20</v>
      </c>
      <c r="E247">
        <v>783.18593467884102</v>
      </c>
      <c r="F247">
        <v>14</v>
      </c>
      <c r="G247">
        <v>74.433726462678905</v>
      </c>
    </row>
    <row r="248" spans="1:7" x14ac:dyDescent="0.45">
      <c r="A248" s="1">
        <v>45125</v>
      </c>
      <c r="B248" t="s">
        <v>18</v>
      </c>
      <c r="C248" t="s">
        <v>16</v>
      </c>
      <c r="D248" t="s">
        <v>9</v>
      </c>
      <c r="E248">
        <v>787.41612340085499</v>
      </c>
      <c r="F248">
        <v>10</v>
      </c>
      <c r="G248">
        <v>60.997802951671297</v>
      </c>
    </row>
    <row r="249" spans="1:7" x14ac:dyDescent="0.45">
      <c r="A249" s="1">
        <v>45234</v>
      </c>
      <c r="B249" t="s">
        <v>13</v>
      </c>
      <c r="C249" t="s">
        <v>19</v>
      </c>
      <c r="D249" t="s">
        <v>11</v>
      </c>
      <c r="E249">
        <v>605.09166866808505</v>
      </c>
      <c r="F249">
        <v>7</v>
      </c>
      <c r="G249">
        <v>163.932035079294</v>
      </c>
    </row>
    <row r="250" spans="1:7" x14ac:dyDescent="0.45">
      <c r="A250" s="1">
        <v>45054</v>
      </c>
      <c r="B250" t="s">
        <v>13</v>
      </c>
      <c r="C250" t="s">
        <v>19</v>
      </c>
      <c r="D250" t="s">
        <v>17</v>
      </c>
      <c r="E250">
        <v>990.45816417838796</v>
      </c>
      <c r="F250">
        <v>13</v>
      </c>
      <c r="G250">
        <v>134.43727926361601</v>
      </c>
    </row>
    <row r="251" spans="1:7" x14ac:dyDescent="0.45">
      <c r="A251" s="1">
        <v>44965</v>
      </c>
      <c r="B251" t="s">
        <v>12</v>
      </c>
      <c r="C251" t="s">
        <v>10</v>
      </c>
      <c r="D251" t="s">
        <v>20</v>
      </c>
      <c r="E251">
        <v>332.00136686530601</v>
      </c>
      <c r="F251">
        <v>5</v>
      </c>
      <c r="G251">
        <v>73.361522400301894</v>
      </c>
    </row>
    <row r="252" spans="1:7" x14ac:dyDescent="0.45">
      <c r="A252" s="1">
        <v>45264</v>
      </c>
      <c r="B252" t="s">
        <v>14</v>
      </c>
      <c r="C252" t="s">
        <v>19</v>
      </c>
      <c r="D252" t="s">
        <v>11</v>
      </c>
      <c r="E252">
        <v>941.859723759433</v>
      </c>
      <c r="F252">
        <v>3</v>
      </c>
      <c r="G252">
        <v>53.061693540401698</v>
      </c>
    </row>
    <row r="253" spans="1:7" x14ac:dyDescent="0.45">
      <c r="A253" s="1">
        <v>45286</v>
      </c>
      <c r="B253" t="s">
        <v>18</v>
      </c>
      <c r="C253" t="s">
        <v>10</v>
      </c>
      <c r="D253" t="s">
        <v>11</v>
      </c>
      <c r="E253">
        <v>915.58380380693802</v>
      </c>
      <c r="F253">
        <v>15</v>
      </c>
      <c r="G253">
        <v>203.728128914113</v>
      </c>
    </row>
    <row r="254" spans="1:7" x14ac:dyDescent="0.45">
      <c r="A254" s="1">
        <v>45055</v>
      </c>
      <c r="B254" t="s">
        <v>7</v>
      </c>
      <c r="C254" t="s">
        <v>8</v>
      </c>
      <c r="D254" t="s">
        <v>9</v>
      </c>
      <c r="E254">
        <v>21.365853151884</v>
      </c>
      <c r="F254">
        <v>4</v>
      </c>
      <c r="G254">
        <v>2.7567362085018301</v>
      </c>
    </row>
    <row r="255" spans="1:7" x14ac:dyDescent="0.45">
      <c r="A255" s="1">
        <v>45193</v>
      </c>
      <c r="B255" t="s">
        <v>13</v>
      </c>
      <c r="C255" t="s">
        <v>10</v>
      </c>
      <c r="D255" t="s">
        <v>11</v>
      </c>
      <c r="E255">
        <v>455.61536121006202</v>
      </c>
      <c r="F255">
        <v>15</v>
      </c>
      <c r="G255">
        <v>29.129865345852998</v>
      </c>
    </row>
    <row r="256" spans="1:7" x14ac:dyDescent="0.45">
      <c r="A256" s="1">
        <v>45077</v>
      </c>
      <c r="B256" t="s">
        <v>13</v>
      </c>
      <c r="C256" t="s">
        <v>16</v>
      </c>
      <c r="D256" t="s">
        <v>9</v>
      </c>
      <c r="E256">
        <v>977.33319072105701</v>
      </c>
      <c r="F256">
        <v>14</v>
      </c>
      <c r="G256">
        <v>197.86422253261301</v>
      </c>
    </row>
    <row r="257" spans="1:7" x14ac:dyDescent="0.45">
      <c r="A257" s="1">
        <v>45224</v>
      </c>
      <c r="B257" t="s">
        <v>7</v>
      </c>
      <c r="C257" t="s">
        <v>10</v>
      </c>
      <c r="D257" t="s">
        <v>20</v>
      </c>
      <c r="E257">
        <v>112.09014878399501</v>
      </c>
      <c r="F257">
        <v>19</v>
      </c>
      <c r="G257">
        <v>12.352441332048601</v>
      </c>
    </row>
    <row r="258" spans="1:7" x14ac:dyDescent="0.45">
      <c r="A258" s="1">
        <v>45025</v>
      </c>
      <c r="B258" t="s">
        <v>18</v>
      </c>
      <c r="C258" t="s">
        <v>8</v>
      </c>
      <c r="D258" t="s">
        <v>20</v>
      </c>
      <c r="E258">
        <v>552.30684743948598</v>
      </c>
      <c r="F258">
        <v>13</v>
      </c>
      <c r="G258">
        <v>81.024414478083301</v>
      </c>
    </row>
    <row r="259" spans="1:7" x14ac:dyDescent="0.45">
      <c r="A259" s="1">
        <v>45189</v>
      </c>
      <c r="B259" t="s">
        <v>18</v>
      </c>
      <c r="C259" t="s">
        <v>16</v>
      </c>
      <c r="D259" t="s">
        <v>17</v>
      </c>
      <c r="E259">
        <v>979.16793197069296</v>
      </c>
      <c r="F259">
        <v>10</v>
      </c>
      <c r="G259">
        <v>68.683933429310599</v>
      </c>
    </row>
    <row r="260" spans="1:7" x14ac:dyDescent="0.45">
      <c r="A260" s="1">
        <v>45178</v>
      </c>
      <c r="B260" t="s">
        <v>14</v>
      </c>
      <c r="C260" t="s">
        <v>15</v>
      </c>
      <c r="D260" t="s">
        <v>17</v>
      </c>
      <c r="E260">
        <v>559.940469864801</v>
      </c>
      <c r="F260">
        <v>5</v>
      </c>
      <c r="G260">
        <v>48.597688484473899</v>
      </c>
    </row>
    <row r="261" spans="1:7" x14ac:dyDescent="0.45">
      <c r="A261" s="1">
        <v>45070</v>
      </c>
      <c r="B261" t="s">
        <v>14</v>
      </c>
      <c r="C261" t="s">
        <v>15</v>
      </c>
      <c r="D261" t="s">
        <v>17</v>
      </c>
      <c r="E261">
        <v>197.91714994243401</v>
      </c>
      <c r="F261">
        <v>6</v>
      </c>
      <c r="G261">
        <v>24.639558796387401</v>
      </c>
    </row>
    <row r="262" spans="1:7" x14ac:dyDescent="0.45">
      <c r="A262" s="1">
        <v>45272</v>
      </c>
      <c r="B262" t="s">
        <v>12</v>
      </c>
      <c r="C262" t="s">
        <v>10</v>
      </c>
      <c r="D262" t="s">
        <v>11</v>
      </c>
      <c r="E262">
        <v>586.36139779166297</v>
      </c>
      <c r="F262">
        <v>4</v>
      </c>
      <c r="G262">
        <v>42.475946442967</v>
      </c>
    </row>
    <row r="263" spans="1:7" x14ac:dyDescent="0.45">
      <c r="A263" s="1">
        <v>45038</v>
      </c>
      <c r="B263" t="s">
        <v>13</v>
      </c>
      <c r="C263" t="s">
        <v>10</v>
      </c>
      <c r="D263" t="s">
        <v>20</v>
      </c>
      <c r="E263">
        <v>212.396168210051</v>
      </c>
      <c r="F263">
        <v>2</v>
      </c>
      <c r="G263">
        <v>58.983810541614403</v>
      </c>
    </row>
    <row r="264" spans="1:7" x14ac:dyDescent="0.45">
      <c r="A264" s="1">
        <v>44986</v>
      </c>
      <c r="B264" t="s">
        <v>14</v>
      </c>
      <c r="C264" t="s">
        <v>8</v>
      </c>
      <c r="D264" t="s">
        <v>9</v>
      </c>
      <c r="E264">
        <v>524.50722026553899</v>
      </c>
      <c r="F264">
        <v>16</v>
      </c>
      <c r="G264">
        <v>27.018290466090502</v>
      </c>
    </row>
    <row r="265" spans="1:7" x14ac:dyDescent="0.45">
      <c r="A265" s="1">
        <v>44928</v>
      </c>
      <c r="B265" t="s">
        <v>18</v>
      </c>
      <c r="C265" t="s">
        <v>8</v>
      </c>
      <c r="D265" t="s">
        <v>17</v>
      </c>
      <c r="E265">
        <v>83.301795733224495</v>
      </c>
      <c r="F265">
        <v>18</v>
      </c>
      <c r="G265">
        <v>14.2416960654782</v>
      </c>
    </row>
    <row r="266" spans="1:7" x14ac:dyDescent="0.45">
      <c r="A266" s="1">
        <v>45230</v>
      </c>
      <c r="B266" t="s">
        <v>7</v>
      </c>
      <c r="C266" t="s">
        <v>19</v>
      </c>
      <c r="D266" t="s">
        <v>9</v>
      </c>
      <c r="E266">
        <v>609.42784252225999</v>
      </c>
      <c r="F266">
        <v>5</v>
      </c>
      <c r="G266">
        <v>49.249000252631397</v>
      </c>
    </row>
    <row r="267" spans="1:7" x14ac:dyDescent="0.45">
      <c r="A267" s="1">
        <v>45180</v>
      </c>
      <c r="B267" t="s">
        <v>18</v>
      </c>
      <c r="C267" t="s">
        <v>8</v>
      </c>
      <c r="D267" t="s">
        <v>9</v>
      </c>
      <c r="E267">
        <v>521.62203973687599</v>
      </c>
      <c r="F267">
        <v>4</v>
      </c>
      <c r="G267">
        <v>66.204150546311894</v>
      </c>
    </row>
    <row r="268" spans="1:7" x14ac:dyDescent="0.45">
      <c r="A268" s="1">
        <v>45066</v>
      </c>
      <c r="B268" t="s">
        <v>13</v>
      </c>
      <c r="C268" t="s">
        <v>19</v>
      </c>
      <c r="D268" t="s">
        <v>17</v>
      </c>
      <c r="E268">
        <v>742.75975507384805</v>
      </c>
      <c r="F268">
        <v>13</v>
      </c>
      <c r="G268">
        <v>209.09793071229501</v>
      </c>
    </row>
    <row r="269" spans="1:7" x14ac:dyDescent="0.45">
      <c r="A269" s="1">
        <v>44963</v>
      </c>
      <c r="B269" t="s">
        <v>18</v>
      </c>
      <c r="C269" t="s">
        <v>16</v>
      </c>
      <c r="D269" t="s">
        <v>20</v>
      </c>
      <c r="E269">
        <v>634.39346644719706</v>
      </c>
      <c r="F269">
        <v>19</v>
      </c>
      <c r="G269">
        <v>57.364165361638698</v>
      </c>
    </row>
    <row r="270" spans="1:7" x14ac:dyDescent="0.45">
      <c r="A270" s="1">
        <v>45086</v>
      </c>
      <c r="B270" t="s">
        <v>12</v>
      </c>
      <c r="C270" t="s">
        <v>10</v>
      </c>
      <c r="D270" t="s">
        <v>17</v>
      </c>
      <c r="E270">
        <v>554.11020584544895</v>
      </c>
      <c r="F270">
        <v>2</v>
      </c>
      <c r="G270">
        <v>161.49989666510001</v>
      </c>
    </row>
    <row r="271" spans="1:7" x14ac:dyDescent="0.45">
      <c r="A271" s="1">
        <v>44935</v>
      </c>
      <c r="B271" t="s">
        <v>13</v>
      </c>
      <c r="C271" t="s">
        <v>16</v>
      </c>
      <c r="D271" t="s">
        <v>9</v>
      </c>
      <c r="E271">
        <v>692.88106075563996</v>
      </c>
      <c r="F271">
        <v>13</v>
      </c>
      <c r="G271">
        <v>70.291809594276103</v>
      </c>
    </row>
    <row r="272" spans="1:7" x14ac:dyDescent="0.45">
      <c r="A272" s="1">
        <v>45159</v>
      </c>
      <c r="B272" t="s">
        <v>7</v>
      </c>
      <c r="C272" t="s">
        <v>8</v>
      </c>
      <c r="D272" t="s">
        <v>17</v>
      </c>
      <c r="E272">
        <v>152.50249443650799</v>
      </c>
      <c r="F272">
        <v>11</v>
      </c>
      <c r="G272">
        <v>35.897795054516898</v>
      </c>
    </row>
    <row r="273" spans="1:7" x14ac:dyDescent="0.45">
      <c r="A273" s="1">
        <v>45025</v>
      </c>
      <c r="B273" t="s">
        <v>12</v>
      </c>
      <c r="C273" t="s">
        <v>16</v>
      </c>
      <c r="D273" t="s">
        <v>9</v>
      </c>
      <c r="E273">
        <v>599.40606464601797</v>
      </c>
      <c r="F273">
        <v>4</v>
      </c>
      <c r="G273">
        <v>111.89072022818701</v>
      </c>
    </row>
    <row r="274" spans="1:7" x14ac:dyDescent="0.45">
      <c r="A274" s="1">
        <v>45073</v>
      </c>
      <c r="B274" t="s">
        <v>13</v>
      </c>
      <c r="C274" t="s">
        <v>16</v>
      </c>
      <c r="D274" t="s">
        <v>9</v>
      </c>
      <c r="E274">
        <v>180.38949679454899</v>
      </c>
      <c r="F274">
        <v>15</v>
      </c>
      <c r="G274">
        <v>48.907142988893199</v>
      </c>
    </row>
    <row r="275" spans="1:7" x14ac:dyDescent="0.45">
      <c r="A275" s="1">
        <v>45230</v>
      </c>
      <c r="B275" t="s">
        <v>7</v>
      </c>
      <c r="C275" t="s">
        <v>16</v>
      </c>
      <c r="D275" t="s">
        <v>17</v>
      </c>
      <c r="E275">
        <v>926.26698577336197</v>
      </c>
      <c r="F275">
        <v>4</v>
      </c>
      <c r="G275">
        <v>174.59976501708201</v>
      </c>
    </row>
    <row r="276" spans="1:7" x14ac:dyDescent="0.45">
      <c r="A276" s="1">
        <v>45134</v>
      </c>
      <c r="B276" t="s">
        <v>12</v>
      </c>
      <c r="C276" t="s">
        <v>8</v>
      </c>
      <c r="D276" t="s">
        <v>11</v>
      </c>
      <c r="E276">
        <v>77.650763797148102</v>
      </c>
      <c r="F276">
        <v>9</v>
      </c>
      <c r="G276">
        <v>14.259771105431</v>
      </c>
    </row>
    <row r="277" spans="1:7" x14ac:dyDescent="0.45">
      <c r="A277" s="1">
        <v>45057</v>
      </c>
      <c r="B277" t="s">
        <v>12</v>
      </c>
      <c r="C277" t="s">
        <v>16</v>
      </c>
      <c r="D277" t="s">
        <v>17</v>
      </c>
      <c r="E277">
        <v>436.07100219388502</v>
      </c>
      <c r="F277">
        <v>7</v>
      </c>
      <c r="G277">
        <v>43.1119416365595</v>
      </c>
    </row>
    <row r="278" spans="1:7" x14ac:dyDescent="0.45">
      <c r="A278" s="1">
        <v>45078</v>
      </c>
      <c r="B278" t="s">
        <v>13</v>
      </c>
      <c r="C278" t="s">
        <v>19</v>
      </c>
      <c r="D278" t="s">
        <v>11</v>
      </c>
      <c r="E278">
        <v>698.83950287889002</v>
      </c>
      <c r="F278">
        <v>19</v>
      </c>
      <c r="G278">
        <v>63.983886328958498</v>
      </c>
    </row>
    <row r="279" spans="1:7" x14ac:dyDescent="0.45">
      <c r="A279" s="1">
        <v>44980</v>
      </c>
      <c r="B279" t="s">
        <v>14</v>
      </c>
      <c r="C279" t="s">
        <v>8</v>
      </c>
      <c r="D279" t="s">
        <v>9</v>
      </c>
      <c r="E279">
        <v>463.441989551576</v>
      </c>
      <c r="F279">
        <v>19</v>
      </c>
      <c r="G279">
        <v>129.35698837643099</v>
      </c>
    </row>
    <row r="280" spans="1:7" x14ac:dyDescent="0.45">
      <c r="A280" s="1">
        <v>45046</v>
      </c>
      <c r="B280" t="s">
        <v>12</v>
      </c>
      <c r="C280" t="s">
        <v>16</v>
      </c>
      <c r="D280" t="s">
        <v>9</v>
      </c>
      <c r="E280">
        <v>101.174300700573</v>
      </c>
      <c r="F280">
        <v>6</v>
      </c>
      <c r="G280">
        <v>13.350915162925499</v>
      </c>
    </row>
    <row r="281" spans="1:7" x14ac:dyDescent="0.45">
      <c r="A281" s="1">
        <v>45087</v>
      </c>
      <c r="B281" t="s">
        <v>12</v>
      </c>
      <c r="C281" t="s">
        <v>8</v>
      </c>
      <c r="D281" t="s">
        <v>11</v>
      </c>
      <c r="E281">
        <v>557.84522596544002</v>
      </c>
      <c r="F281">
        <v>6</v>
      </c>
      <c r="G281">
        <v>79.783338697648801</v>
      </c>
    </row>
    <row r="282" spans="1:7" x14ac:dyDescent="0.45">
      <c r="A282" s="1">
        <v>45042</v>
      </c>
      <c r="B282" t="s">
        <v>7</v>
      </c>
      <c r="C282" t="s">
        <v>15</v>
      </c>
      <c r="D282" t="s">
        <v>9</v>
      </c>
      <c r="E282">
        <v>645.215589739081</v>
      </c>
      <c r="F282">
        <v>15</v>
      </c>
      <c r="G282">
        <v>154.82329695459799</v>
      </c>
    </row>
    <row r="283" spans="1:7" x14ac:dyDescent="0.45">
      <c r="A283" s="1">
        <v>45001</v>
      </c>
      <c r="B283" t="s">
        <v>18</v>
      </c>
      <c r="C283" t="s">
        <v>19</v>
      </c>
      <c r="D283" t="s">
        <v>11</v>
      </c>
      <c r="E283">
        <v>706.75438788060205</v>
      </c>
      <c r="F283">
        <v>15</v>
      </c>
      <c r="G283">
        <v>95.203965123856406</v>
      </c>
    </row>
    <row r="284" spans="1:7" x14ac:dyDescent="0.45">
      <c r="A284" s="1">
        <v>45039</v>
      </c>
      <c r="B284" t="s">
        <v>13</v>
      </c>
      <c r="C284" t="s">
        <v>16</v>
      </c>
      <c r="D284" t="s">
        <v>11</v>
      </c>
      <c r="E284">
        <v>379.52721631813102</v>
      </c>
      <c r="F284">
        <v>9</v>
      </c>
      <c r="G284">
        <v>109.309763349389</v>
      </c>
    </row>
    <row r="285" spans="1:7" x14ac:dyDescent="0.45">
      <c r="A285" s="1">
        <v>45030</v>
      </c>
      <c r="B285" t="s">
        <v>13</v>
      </c>
      <c r="C285" t="s">
        <v>15</v>
      </c>
      <c r="D285" t="s">
        <v>9</v>
      </c>
      <c r="E285">
        <v>568.02337131847401</v>
      </c>
      <c r="F285">
        <v>4</v>
      </c>
      <c r="G285">
        <v>133.191223349978</v>
      </c>
    </row>
    <row r="286" spans="1:7" x14ac:dyDescent="0.45">
      <c r="A286" s="1">
        <v>45266</v>
      </c>
      <c r="B286" t="s">
        <v>14</v>
      </c>
      <c r="C286" t="s">
        <v>15</v>
      </c>
      <c r="D286" t="s">
        <v>20</v>
      </c>
      <c r="E286">
        <v>456.179610189524</v>
      </c>
      <c r="F286">
        <v>18</v>
      </c>
      <c r="G286">
        <v>90.942740257717503</v>
      </c>
    </row>
    <row r="287" spans="1:7" x14ac:dyDescent="0.45">
      <c r="A287" s="1">
        <v>45180</v>
      </c>
      <c r="B287" t="s">
        <v>14</v>
      </c>
      <c r="C287" t="s">
        <v>8</v>
      </c>
      <c r="D287" t="s">
        <v>11</v>
      </c>
      <c r="E287">
        <v>675.33547836472997</v>
      </c>
      <c r="F287">
        <v>18</v>
      </c>
      <c r="G287">
        <v>182.49171257715301</v>
      </c>
    </row>
    <row r="288" spans="1:7" x14ac:dyDescent="0.45">
      <c r="A288" s="1">
        <v>45153</v>
      </c>
      <c r="B288" t="s">
        <v>13</v>
      </c>
      <c r="C288" t="s">
        <v>15</v>
      </c>
      <c r="D288" t="s">
        <v>17</v>
      </c>
      <c r="E288">
        <v>587.72139765156999</v>
      </c>
      <c r="F288">
        <v>5</v>
      </c>
      <c r="G288">
        <v>36.674683329311897</v>
      </c>
    </row>
    <row r="289" spans="1:7" x14ac:dyDescent="0.45">
      <c r="A289" s="1">
        <v>45038</v>
      </c>
      <c r="B289" t="s">
        <v>14</v>
      </c>
      <c r="C289" t="s">
        <v>19</v>
      </c>
      <c r="D289" t="s">
        <v>17</v>
      </c>
      <c r="E289">
        <v>530.49865736354297</v>
      </c>
      <c r="F289">
        <v>11</v>
      </c>
      <c r="G289">
        <v>60.617786134335397</v>
      </c>
    </row>
    <row r="290" spans="1:7" x14ac:dyDescent="0.45">
      <c r="A290" s="1">
        <v>45025</v>
      </c>
      <c r="B290" t="s">
        <v>7</v>
      </c>
      <c r="C290" t="s">
        <v>19</v>
      </c>
      <c r="D290" t="s">
        <v>9</v>
      </c>
      <c r="E290">
        <v>257.02912316986601</v>
      </c>
      <c r="F290">
        <v>5</v>
      </c>
      <c r="G290">
        <v>42.733426465225598</v>
      </c>
    </row>
    <row r="291" spans="1:7" x14ac:dyDescent="0.45">
      <c r="A291" s="1">
        <v>45079</v>
      </c>
      <c r="B291" t="s">
        <v>13</v>
      </c>
      <c r="C291" t="s">
        <v>10</v>
      </c>
      <c r="D291" t="s">
        <v>20</v>
      </c>
      <c r="E291">
        <v>11.998332570751501</v>
      </c>
      <c r="F291">
        <v>4</v>
      </c>
      <c r="G291">
        <v>1.2807576292882701</v>
      </c>
    </row>
    <row r="292" spans="1:7" x14ac:dyDescent="0.45">
      <c r="A292" s="1">
        <v>45275</v>
      </c>
      <c r="B292" t="s">
        <v>14</v>
      </c>
      <c r="C292" t="s">
        <v>19</v>
      </c>
      <c r="D292" t="s">
        <v>9</v>
      </c>
      <c r="E292">
        <v>182.34085855831401</v>
      </c>
      <c r="F292">
        <v>12</v>
      </c>
      <c r="G292">
        <v>43.028120562580298</v>
      </c>
    </row>
    <row r="293" spans="1:7" x14ac:dyDescent="0.45">
      <c r="A293" s="1">
        <v>45264</v>
      </c>
      <c r="B293" t="s">
        <v>13</v>
      </c>
      <c r="C293" t="s">
        <v>15</v>
      </c>
      <c r="D293" t="s">
        <v>20</v>
      </c>
      <c r="E293">
        <v>125.895381009926</v>
      </c>
      <c r="F293">
        <v>2</v>
      </c>
      <c r="G293">
        <v>35.225780374719697</v>
      </c>
    </row>
    <row r="294" spans="1:7" x14ac:dyDescent="0.45">
      <c r="A294" s="1">
        <v>45120</v>
      </c>
      <c r="B294" t="s">
        <v>18</v>
      </c>
      <c r="C294" t="s">
        <v>19</v>
      </c>
      <c r="D294" t="s">
        <v>11</v>
      </c>
      <c r="E294">
        <v>454.59389756083698</v>
      </c>
      <c r="F294">
        <v>13</v>
      </c>
      <c r="G294">
        <v>70.890522500347302</v>
      </c>
    </row>
    <row r="295" spans="1:7" x14ac:dyDescent="0.45">
      <c r="A295" s="1">
        <v>45236</v>
      </c>
      <c r="B295" t="s">
        <v>12</v>
      </c>
      <c r="C295" t="s">
        <v>8</v>
      </c>
      <c r="D295" t="s">
        <v>11</v>
      </c>
      <c r="E295">
        <v>616.13556925422597</v>
      </c>
      <c r="F295">
        <v>10</v>
      </c>
      <c r="G295">
        <v>83.506794545304004</v>
      </c>
    </row>
    <row r="296" spans="1:7" x14ac:dyDescent="0.45">
      <c r="A296" s="1">
        <v>45089</v>
      </c>
      <c r="B296" t="s">
        <v>13</v>
      </c>
      <c r="C296" t="s">
        <v>10</v>
      </c>
      <c r="D296" t="s">
        <v>11</v>
      </c>
      <c r="E296">
        <v>220.95415859796</v>
      </c>
      <c r="F296">
        <v>9</v>
      </c>
      <c r="G296">
        <v>64.162366172075096</v>
      </c>
    </row>
    <row r="297" spans="1:7" x14ac:dyDescent="0.45">
      <c r="A297" s="1">
        <v>45134</v>
      </c>
      <c r="B297" t="s">
        <v>12</v>
      </c>
      <c r="C297" t="s">
        <v>15</v>
      </c>
      <c r="D297" t="s">
        <v>11</v>
      </c>
      <c r="E297">
        <v>939.66652500751502</v>
      </c>
      <c r="F297">
        <v>10</v>
      </c>
      <c r="G297">
        <v>151.486561174424</v>
      </c>
    </row>
    <row r="298" spans="1:7" x14ac:dyDescent="0.45">
      <c r="A298" s="1">
        <v>45095</v>
      </c>
      <c r="B298" t="s">
        <v>14</v>
      </c>
      <c r="C298" t="s">
        <v>10</v>
      </c>
      <c r="D298" t="s">
        <v>17</v>
      </c>
      <c r="E298">
        <v>16.6153079316489</v>
      </c>
      <c r="F298">
        <v>7</v>
      </c>
      <c r="G298">
        <v>2.8621878383187398</v>
      </c>
    </row>
    <row r="299" spans="1:7" x14ac:dyDescent="0.45">
      <c r="A299" s="1">
        <v>45087</v>
      </c>
      <c r="B299" t="s">
        <v>12</v>
      </c>
      <c r="C299" t="s">
        <v>15</v>
      </c>
      <c r="D299" t="s">
        <v>17</v>
      </c>
      <c r="E299">
        <v>774.57800501368899</v>
      </c>
      <c r="F299">
        <v>4</v>
      </c>
      <c r="G299">
        <v>106.823964396162</v>
      </c>
    </row>
    <row r="300" spans="1:7" x14ac:dyDescent="0.45">
      <c r="A300" s="1">
        <v>44994</v>
      </c>
      <c r="B300" t="s">
        <v>13</v>
      </c>
      <c r="C300" t="s">
        <v>8</v>
      </c>
      <c r="D300" t="s">
        <v>9</v>
      </c>
      <c r="E300">
        <v>628.95272183513703</v>
      </c>
      <c r="F300">
        <v>19</v>
      </c>
      <c r="G300">
        <v>174.46338302725101</v>
      </c>
    </row>
    <row r="301" spans="1:7" x14ac:dyDescent="0.45">
      <c r="A301" s="1">
        <v>45215</v>
      </c>
      <c r="B301" t="s">
        <v>18</v>
      </c>
      <c r="C301" t="s">
        <v>10</v>
      </c>
      <c r="D301" t="s">
        <v>20</v>
      </c>
      <c r="E301">
        <v>379.81925303720499</v>
      </c>
      <c r="F301">
        <v>10</v>
      </c>
      <c r="G301">
        <v>73.016024319743906</v>
      </c>
    </row>
    <row r="302" spans="1:7" x14ac:dyDescent="0.45">
      <c r="A302" s="1">
        <v>45203</v>
      </c>
      <c r="B302" t="s">
        <v>14</v>
      </c>
      <c r="C302" t="s">
        <v>16</v>
      </c>
      <c r="D302" t="s">
        <v>11</v>
      </c>
      <c r="E302">
        <v>59.9840549682838</v>
      </c>
      <c r="F302">
        <v>3</v>
      </c>
      <c r="G302">
        <v>14.428783331647301</v>
      </c>
    </row>
    <row r="303" spans="1:7" x14ac:dyDescent="0.45">
      <c r="A303" s="1">
        <v>45230</v>
      </c>
      <c r="B303" t="s">
        <v>13</v>
      </c>
      <c r="C303" t="s">
        <v>15</v>
      </c>
      <c r="D303" t="s">
        <v>11</v>
      </c>
      <c r="E303">
        <v>631.21170606643602</v>
      </c>
      <c r="F303">
        <v>19</v>
      </c>
      <c r="G303">
        <v>159.66606122493599</v>
      </c>
    </row>
    <row r="304" spans="1:7" x14ac:dyDescent="0.45">
      <c r="A304" s="1">
        <v>45061</v>
      </c>
      <c r="B304" t="s">
        <v>14</v>
      </c>
      <c r="C304" t="s">
        <v>16</v>
      </c>
      <c r="D304" t="s">
        <v>20</v>
      </c>
      <c r="E304">
        <v>391.75737773699097</v>
      </c>
      <c r="F304">
        <v>2</v>
      </c>
      <c r="G304">
        <v>53.068339947701503</v>
      </c>
    </row>
    <row r="305" spans="1:7" x14ac:dyDescent="0.45">
      <c r="A305" s="1">
        <v>45121</v>
      </c>
      <c r="B305" t="s">
        <v>7</v>
      </c>
      <c r="C305" t="s">
        <v>10</v>
      </c>
      <c r="D305" t="s">
        <v>20</v>
      </c>
      <c r="E305">
        <v>936.90446801908695</v>
      </c>
      <c r="F305">
        <v>10</v>
      </c>
      <c r="G305">
        <v>148.42776259310699</v>
      </c>
    </row>
    <row r="306" spans="1:7" x14ac:dyDescent="0.45">
      <c r="A306" s="1">
        <v>45054</v>
      </c>
      <c r="B306" t="s">
        <v>12</v>
      </c>
      <c r="C306" t="s">
        <v>16</v>
      </c>
      <c r="D306" t="s">
        <v>9</v>
      </c>
      <c r="E306">
        <v>546.57017414086795</v>
      </c>
      <c r="F306">
        <v>2</v>
      </c>
      <c r="G306">
        <v>143.26585007975399</v>
      </c>
    </row>
    <row r="307" spans="1:7" x14ac:dyDescent="0.45">
      <c r="A307" s="1">
        <v>44959</v>
      </c>
      <c r="B307" t="s">
        <v>7</v>
      </c>
      <c r="C307" t="s">
        <v>16</v>
      </c>
      <c r="D307" t="s">
        <v>20</v>
      </c>
      <c r="E307">
        <v>940.25499618057302</v>
      </c>
      <c r="F307">
        <v>2</v>
      </c>
      <c r="G307">
        <v>132.400914634656</v>
      </c>
    </row>
    <row r="308" spans="1:7" x14ac:dyDescent="0.45">
      <c r="A308" s="1">
        <v>45102</v>
      </c>
      <c r="B308" t="s">
        <v>13</v>
      </c>
      <c r="C308" t="s">
        <v>10</v>
      </c>
      <c r="D308" t="s">
        <v>11</v>
      </c>
      <c r="E308">
        <v>228.27885653857101</v>
      </c>
      <c r="F308">
        <v>17</v>
      </c>
      <c r="G308">
        <v>56.723593934475097</v>
      </c>
    </row>
    <row r="309" spans="1:7" x14ac:dyDescent="0.45">
      <c r="A309" s="1">
        <v>44948</v>
      </c>
      <c r="B309" t="s">
        <v>18</v>
      </c>
      <c r="C309" t="s">
        <v>8</v>
      </c>
      <c r="D309" t="s">
        <v>11</v>
      </c>
      <c r="E309">
        <v>728.46865126046202</v>
      </c>
      <c r="F309">
        <v>16</v>
      </c>
      <c r="G309">
        <v>207.79428458108501</v>
      </c>
    </row>
    <row r="310" spans="1:7" x14ac:dyDescent="0.45">
      <c r="A310" s="1">
        <v>45164</v>
      </c>
      <c r="B310" t="s">
        <v>14</v>
      </c>
      <c r="C310" t="s">
        <v>16</v>
      </c>
      <c r="D310" t="s">
        <v>11</v>
      </c>
      <c r="E310">
        <v>621.07653064023805</v>
      </c>
      <c r="F310">
        <v>16</v>
      </c>
      <c r="G310">
        <v>127.819160623033</v>
      </c>
    </row>
    <row r="311" spans="1:7" x14ac:dyDescent="0.45">
      <c r="A311" s="1">
        <v>45084</v>
      </c>
      <c r="B311" t="s">
        <v>12</v>
      </c>
      <c r="C311" t="s">
        <v>16</v>
      </c>
      <c r="D311" t="s">
        <v>11</v>
      </c>
      <c r="E311">
        <v>742.01414753299798</v>
      </c>
      <c r="F311">
        <v>14</v>
      </c>
      <c r="G311">
        <v>174.67519224810499</v>
      </c>
    </row>
    <row r="312" spans="1:7" x14ac:dyDescent="0.45">
      <c r="A312" s="1">
        <v>44964</v>
      </c>
      <c r="B312" t="s">
        <v>14</v>
      </c>
      <c r="C312" t="s">
        <v>8</v>
      </c>
      <c r="D312" t="s">
        <v>11</v>
      </c>
      <c r="E312">
        <v>222.521185332811</v>
      </c>
      <c r="F312">
        <v>7</v>
      </c>
      <c r="G312">
        <v>55.913861312553898</v>
      </c>
    </row>
    <row r="313" spans="1:7" x14ac:dyDescent="0.45">
      <c r="A313" s="1">
        <v>45156</v>
      </c>
      <c r="B313" t="s">
        <v>13</v>
      </c>
      <c r="C313" t="s">
        <v>16</v>
      </c>
      <c r="D313" t="s">
        <v>9</v>
      </c>
      <c r="E313">
        <v>668.34457107539595</v>
      </c>
      <c r="F313">
        <v>11</v>
      </c>
      <c r="G313">
        <v>174.611643974652</v>
      </c>
    </row>
    <row r="314" spans="1:7" x14ac:dyDescent="0.45">
      <c r="A314" s="1">
        <v>45291</v>
      </c>
      <c r="B314" t="s">
        <v>14</v>
      </c>
      <c r="C314" t="s">
        <v>16</v>
      </c>
      <c r="D314" t="s">
        <v>11</v>
      </c>
      <c r="E314">
        <v>503.05998912630002</v>
      </c>
      <c r="F314">
        <v>1</v>
      </c>
      <c r="G314">
        <v>74.8368814179521</v>
      </c>
    </row>
    <row r="315" spans="1:7" x14ac:dyDescent="0.45">
      <c r="A315" s="1">
        <v>44977</v>
      </c>
      <c r="B315" t="s">
        <v>12</v>
      </c>
      <c r="C315" t="s">
        <v>16</v>
      </c>
      <c r="D315" t="s">
        <v>9</v>
      </c>
      <c r="E315">
        <v>745.39672515725294</v>
      </c>
      <c r="F315">
        <v>11</v>
      </c>
      <c r="G315">
        <v>46.822739905368003</v>
      </c>
    </row>
    <row r="316" spans="1:7" x14ac:dyDescent="0.45">
      <c r="A316" s="1">
        <v>45190</v>
      </c>
      <c r="B316" t="s">
        <v>13</v>
      </c>
      <c r="C316" t="s">
        <v>19</v>
      </c>
      <c r="D316" t="s">
        <v>11</v>
      </c>
      <c r="E316">
        <v>333.77419771029901</v>
      </c>
      <c r="F316">
        <v>4</v>
      </c>
      <c r="G316">
        <v>50.222692388227301</v>
      </c>
    </row>
    <row r="317" spans="1:7" x14ac:dyDescent="0.45">
      <c r="A317" s="1">
        <v>45209</v>
      </c>
      <c r="B317" t="s">
        <v>14</v>
      </c>
      <c r="C317" t="s">
        <v>8</v>
      </c>
      <c r="D317" t="s">
        <v>17</v>
      </c>
      <c r="E317">
        <v>891.15645521060003</v>
      </c>
      <c r="F317">
        <v>7</v>
      </c>
      <c r="G317">
        <v>194.663376113141</v>
      </c>
    </row>
    <row r="318" spans="1:7" x14ac:dyDescent="0.45">
      <c r="A318" s="1">
        <v>44953</v>
      </c>
      <c r="B318" t="s">
        <v>18</v>
      </c>
      <c r="C318" t="s">
        <v>16</v>
      </c>
      <c r="D318" t="s">
        <v>17</v>
      </c>
      <c r="E318">
        <v>93.458301465236801</v>
      </c>
      <c r="F318">
        <v>15</v>
      </c>
      <c r="G318">
        <v>15.1951606030836</v>
      </c>
    </row>
    <row r="319" spans="1:7" x14ac:dyDescent="0.45">
      <c r="A319" s="1">
        <v>45152</v>
      </c>
      <c r="B319" t="s">
        <v>13</v>
      </c>
      <c r="C319" t="s">
        <v>8</v>
      </c>
      <c r="D319" t="s">
        <v>17</v>
      </c>
      <c r="E319">
        <v>809.11742560327605</v>
      </c>
      <c r="F319">
        <v>18</v>
      </c>
      <c r="G319">
        <v>191.95565540413401</v>
      </c>
    </row>
    <row r="320" spans="1:7" x14ac:dyDescent="0.45">
      <c r="A320" s="1">
        <v>45203</v>
      </c>
      <c r="B320" t="s">
        <v>13</v>
      </c>
      <c r="C320" t="s">
        <v>15</v>
      </c>
      <c r="D320" t="s">
        <v>17</v>
      </c>
      <c r="E320">
        <v>862.70642955693995</v>
      </c>
      <c r="F320">
        <v>12</v>
      </c>
      <c r="G320">
        <v>120.128080763215</v>
      </c>
    </row>
    <row r="321" spans="1:7" x14ac:dyDescent="0.45">
      <c r="A321" s="1">
        <v>45212</v>
      </c>
      <c r="B321" t="s">
        <v>18</v>
      </c>
      <c r="C321" t="s">
        <v>15</v>
      </c>
      <c r="D321" t="s">
        <v>9</v>
      </c>
      <c r="E321">
        <v>819.07978825315297</v>
      </c>
      <c r="F321">
        <v>17</v>
      </c>
      <c r="G321">
        <v>170.93051358526199</v>
      </c>
    </row>
    <row r="322" spans="1:7" x14ac:dyDescent="0.45">
      <c r="A322" s="1">
        <v>45023</v>
      </c>
      <c r="B322" t="s">
        <v>7</v>
      </c>
      <c r="C322" t="s">
        <v>16</v>
      </c>
      <c r="D322" t="s">
        <v>9</v>
      </c>
      <c r="E322">
        <v>517.59913031915801</v>
      </c>
      <c r="F322">
        <v>1</v>
      </c>
      <c r="G322">
        <v>50.002638732629002</v>
      </c>
    </row>
    <row r="323" spans="1:7" x14ac:dyDescent="0.45">
      <c r="A323" s="1">
        <v>45210</v>
      </c>
      <c r="B323" t="s">
        <v>12</v>
      </c>
      <c r="C323" t="s">
        <v>8</v>
      </c>
      <c r="D323" t="s">
        <v>20</v>
      </c>
      <c r="E323">
        <v>444.00113023045299</v>
      </c>
      <c r="F323">
        <v>11</v>
      </c>
      <c r="G323">
        <v>105.380275719152</v>
      </c>
    </row>
    <row r="324" spans="1:7" x14ac:dyDescent="0.45">
      <c r="A324" s="1">
        <v>45243</v>
      </c>
      <c r="B324" t="s">
        <v>7</v>
      </c>
      <c r="C324" t="s">
        <v>8</v>
      </c>
      <c r="D324" t="s">
        <v>11</v>
      </c>
      <c r="E324">
        <v>996.29966365962798</v>
      </c>
      <c r="F324">
        <v>1</v>
      </c>
      <c r="G324">
        <v>185.73416073018899</v>
      </c>
    </row>
    <row r="325" spans="1:7" x14ac:dyDescent="0.45">
      <c r="A325" s="1">
        <v>45230</v>
      </c>
      <c r="B325" t="s">
        <v>14</v>
      </c>
      <c r="C325" t="s">
        <v>8</v>
      </c>
      <c r="D325" t="s">
        <v>17</v>
      </c>
      <c r="E325">
        <v>236.88023170202001</v>
      </c>
      <c r="F325">
        <v>15</v>
      </c>
      <c r="G325">
        <v>23.9287164953634</v>
      </c>
    </row>
    <row r="326" spans="1:7" x14ac:dyDescent="0.45">
      <c r="A326" s="1">
        <v>45073</v>
      </c>
      <c r="B326" t="s">
        <v>18</v>
      </c>
      <c r="C326" t="s">
        <v>19</v>
      </c>
      <c r="D326" t="s">
        <v>9</v>
      </c>
      <c r="E326">
        <v>551.40720621728406</v>
      </c>
      <c r="F326">
        <v>10</v>
      </c>
      <c r="G326">
        <v>67.810841471372896</v>
      </c>
    </row>
    <row r="327" spans="1:7" x14ac:dyDescent="0.45">
      <c r="A327" s="1">
        <v>44930</v>
      </c>
      <c r="B327" t="s">
        <v>7</v>
      </c>
      <c r="C327" t="s">
        <v>15</v>
      </c>
      <c r="D327" t="s">
        <v>11</v>
      </c>
      <c r="E327">
        <v>673.968770128502</v>
      </c>
      <c r="F327">
        <v>7</v>
      </c>
      <c r="G327">
        <v>159.83316116402099</v>
      </c>
    </row>
    <row r="328" spans="1:7" x14ac:dyDescent="0.45">
      <c r="A328" s="1">
        <v>44961</v>
      </c>
      <c r="B328" t="s">
        <v>13</v>
      </c>
      <c r="C328" t="s">
        <v>8</v>
      </c>
      <c r="D328" t="s">
        <v>11</v>
      </c>
      <c r="E328">
        <v>703.85895950281702</v>
      </c>
      <c r="F328">
        <v>2</v>
      </c>
      <c r="G328">
        <v>120.11374887201301</v>
      </c>
    </row>
    <row r="329" spans="1:7" x14ac:dyDescent="0.45">
      <c r="A329" s="1">
        <v>45118</v>
      </c>
      <c r="B329" t="s">
        <v>14</v>
      </c>
      <c r="C329" t="s">
        <v>8</v>
      </c>
      <c r="D329" t="s">
        <v>9</v>
      </c>
      <c r="E329">
        <v>211.98441908119199</v>
      </c>
      <c r="F329">
        <v>10</v>
      </c>
      <c r="G329">
        <v>22.048045802809298</v>
      </c>
    </row>
    <row r="330" spans="1:7" x14ac:dyDescent="0.45">
      <c r="A330" s="1">
        <v>44975</v>
      </c>
      <c r="B330" t="s">
        <v>14</v>
      </c>
      <c r="C330" t="s">
        <v>19</v>
      </c>
      <c r="D330" t="s">
        <v>17</v>
      </c>
      <c r="E330">
        <v>657.45415141640296</v>
      </c>
      <c r="F330">
        <v>4</v>
      </c>
      <c r="G330">
        <v>191.85682248442899</v>
      </c>
    </row>
    <row r="331" spans="1:7" x14ac:dyDescent="0.45">
      <c r="A331" s="1">
        <v>44943</v>
      </c>
      <c r="B331" t="s">
        <v>7</v>
      </c>
      <c r="C331" t="s">
        <v>19</v>
      </c>
      <c r="D331" t="s">
        <v>20</v>
      </c>
      <c r="E331">
        <v>820.18587081652299</v>
      </c>
      <c r="F331">
        <v>12</v>
      </c>
      <c r="G331">
        <v>187.643152821125</v>
      </c>
    </row>
    <row r="332" spans="1:7" x14ac:dyDescent="0.45">
      <c r="A332" s="1">
        <v>45098</v>
      </c>
      <c r="B332" t="s">
        <v>7</v>
      </c>
      <c r="C332" t="s">
        <v>8</v>
      </c>
      <c r="D332" t="s">
        <v>11</v>
      </c>
      <c r="E332">
        <v>59.518391052901002</v>
      </c>
      <c r="F332">
        <v>19</v>
      </c>
      <c r="G332">
        <v>17.217700866009199</v>
      </c>
    </row>
    <row r="333" spans="1:7" x14ac:dyDescent="0.45">
      <c r="A333" s="1">
        <v>45146</v>
      </c>
      <c r="B333" t="s">
        <v>18</v>
      </c>
      <c r="C333" t="s">
        <v>10</v>
      </c>
      <c r="D333" t="s">
        <v>20</v>
      </c>
      <c r="E333">
        <v>912.40608039206302</v>
      </c>
      <c r="F333">
        <v>11</v>
      </c>
      <c r="G333">
        <v>143.043614107829</v>
      </c>
    </row>
    <row r="334" spans="1:7" x14ac:dyDescent="0.45">
      <c r="A334" s="1">
        <v>45084</v>
      </c>
      <c r="B334" t="s">
        <v>12</v>
      </c>
      <c r="C334" t="s">
        <v>8</v>
      </c>
      <c r="D334" t="s">
        <v>17</v>
      </c>
      <c r="E334">
        <v>39.2090145937538</v>
      </c>
      <c r="F334">
        <v>8</v>
      </c>
      <c r="G334">
        <v>6.6175047776074596</v>
      </c>
    </row>
    <row r="335" spans="1:7" x14ac:dyDescent="0.45">
      <c r="A335" s="1">
        <v>44972</v>
      </c>
      <c r="B335" t="s">
        <v>7</v>
      </c>
      <c r="C335" t="s">
        <v>8</v>
      </c>
      <c r="D335" t="s">
        <v>17</v>
      </c>
      <c r="E335">
        <v>362.41132216351002</v>
      </c>
      <c r="F335">
        <v>18</v>
      </c>
      <c r="G335">
        <v>99.477850393483905</v>
      </c>
    </row>
    <row r="336" spans="1:7" x14ac:dyDescent="0.45">
      <c r="A336" s="1">
        <v>44932</v>
      </c>
      <c r="B336" t="s">
        <v>7</v>
      </c>
      <c r="C336" t="s">
        <v>19</v>
      </c>
      <c r="D336" t="s">
        <v>20</v>
      </c>
      <c r="E336">
        <v>25.655064270632401</v>
      </c>
      <c r="F336">
        <v>11</v>
      </c>
      <c r="G336">
        <v>4.6502968558437399</v>
      </c>
    </row>
    <row r="337" spans="1:7" x14ac:dyDescent="0.45">
      <c r="A337" s="1">
        <v>45025</v>
      </c>
      <c r="B337" t="s">
        <v>13</v>
      </c>
      <c r="C337" t="s">
        <v>19</v>
      </c>
      <c r="D337" t="s">
        <v>17</v>
      </c>
      <c r="E337">
        <v>86.373716854186</v>
      </c>
      <c r="F337">
        <v>11</v>
      </c>
      <c r="G337">
        <v>19.591262961178501</v>
      </c>
    </row>
    <row r="338" spans="1:7" x14ac:dyDescent="0.45">
      <c r="A338" s="1">
        <v>45159</v>
      </c>
      <c r="B338" t="s">
        <v>14</v>
      </c>
      <c r="C338" t="s">
        <v>8</v>
      </c>
      <c r="D338" t="s">
        <v>11</v>
      </c>
      <c r="E338">
        <v>912.05660232827802</v>
      </c>
      <c r="F338">
        <v>13</v>
      </c>
      <c r="G338">
        <v>103.101814578393</v>
      </c>
    </row>
    <row r="339" spans="1:7" x14ac:dyDescent="0.45">
      <c r="A339" s="1">
        <v>44963</v>
      </c>
      <c r="B339" t="s">
        <v>12</v>
      </c>
      <c r="C339" t="s">
        <v>8</v>
      </c>
      <c r="D339" t="s">
        <v>20</v>
      </c>
      <c r="E339">
        <v>361.31222243868598</v>
      </c>
      <c r="F339">
        <v>3</v>
      </c>
      <c r="G339">
        <v>58.417544429218601</v>
      </c>
    </row>
    <row r="340" spans="1:7" x14ac:dyDescent="0.45">
      <c r="A340" s="1">
        <v>45206</v>
      </c>
      <c r="B340" t="s">
        <v>13</v>
      </c>
      <c r="C340" t="s">
        <v>8</v>
      </c>
      <c r="D340" t="s">
        <v>17</v>
      </c>
      <c r="E340">
        <v>430.523815120802</v>
      </c>
      <c r="F340">
        <v>12</v>
      </c>
      <c r="G340">
        <v>34.813217557246404</v>
      </c>
    </row>
    <row r="341" spans="1:7" x14ac:dyDescent="0.45">
      <c r="A341" s="1">
        <v>45275</v>
      </c>
      <c r="B341" t="s">
        <v>18</v>
      </c>
      <c r="C341" t="s">
        <v>19</v>
      </c>
      <c r="D341" t="s">
        <v>20</v>
      </c>
      <c r="E341">
        <v>223.19093756872701</v>
      </c>
      <c r="F341">
        <v>3</v>
      </c>
      <c r="G341">
        <v>22.6527662103911</v>
      </c>
    </row>
    <row r="342" spans="1:7" x14ac:dyDescent="0.45">
      <c r="A342" s="1">
        <v>45228</v>
      </c>
      <c r="B342" t="s">
        <v>18</v>
      </c>
      <c r="C342" t="s">
        <v>8</v>
      </c>
      <c r="D342" t="s">
        <v>11</v>
      </c>
      <c r="E342">
        <v>601.12481248485199</v>
      </c>
      <c r="F342">
        <v>10</v>
      </c>
      <c r="G342">
        <v>30.1980182057051</v>
      </c>
    </row>
    <row r="343" spans="1:7" x14ac:dyDescent="0.45">
      <c r="A343" s="1">
        <v>45107</v>
      </c>
      <c r="B343" t="s">
        <v>7</v>
      </c>
      <c r="C343" t="s">
        <v>8</v>
      </c>
      <c r="D343" t="s">
        <v>17</v>
      </c>
      <c r="E343">
        <v>598.855182531011</v>
      </c>
      <c r="F343">
        <v>17</v>
      </c>
      <c r="G343">
        <v>35.821279044587499</v>
      </c>
    </row>
    <row r="344" spans="1:7" x14ac:dyDescent="0.45">
      <c r="A344" s="1">
        <v>45021</v>
      </c>
      <c r="B344" t="s">
        <v>7</v>
      </c>
      <c r="C344" t="s">
        <v>16</v>
      </c>
      <c r="D344" t="s">
        <v>11</v>
      </c>
      <c r="E344">
        <v>378.47838790696699</v>
      </c>
      <c r="F344">
        <v>2</v>
      </c>
      <c r="G344">
        <v>111.39412087623801</v>
      </c>
    </row>
    <row r="345" spans="1:7" x14ac:dyDescent="0.45">
      <c r="A345" s="1">
        <v>45025</v>
      </c>
      <c r="B345" t="s">
        <v>18</v>
      </c>
      <c r="C345" t="s">
        <v>10</v>
      </c>
      <c r="D345" t="s">
        <v>17</v>
      </c>
      <c r="E345">
        <v>339.704523087344</v>
      </c>
      <c r="F345">
        <v>17</v>
      </c>
      <c r="G345">
        <v>37.567387760589597</v>
      </c>
    </row>
    <row r="346" spans="1:7" x14ac:dyDescent="0.45">
      <c r="A346" s="1">
        <v>45114</v>
      </c>
      <c r="B346" t="s">
        <v>7</v>
      </c>
      <c r="C346" t="s">
        <v>15</v>
      </c>
      <c r="D346" t="s">
        <v>9</v>
      </c>
      <c r="E346">
        <v>886.11466509878096</v>
      </c>
      <c r="F346">
        <v>16</v>
      </c>
      <c r="G346">
        <v>191.248070057082</v>
      </c>
    </row>
    <row r="347" spans="1:7" x14ac:dyDescent="0.45">
      <c r="A347" s="1">
        <v>45042</v>
      </c>
      <c r="B347" t="s">
        <v>12</v>
      </c>
      <c r="C347" t="s">
        <v>10</v>
      </c>
      <c r="D347" t="s">
        <v>17</v>
      </c>
      <c r="E347">
        <v>389.45139724577899</v>
      </c>
      <c r="F347">
        <v>2</v>
      </c>
      <c r="G347">
        <v>101.169707393794</v>
      </c>
    </row>
    <row r="348" spans="1:7" x14ac:dyDescent="0.45">
      <c r="A348" s="1">
        <v>45117</v>
      </c>
      <c r="B348" t="s">
        <v>7</v>
      </c>
      <c r="C348" t="s">
        <v>16</v>
      </c>
      <c r="D348" t="s">
        <v>20</v>
      </c>
      <c r="E348">
        <v>498.56598223286397</v>
      </c>
      <c r="F348">
        <v>6</v>
      </c>
      <c r="G348">
        <v>93.563442295662597</v>
      </c>
    </row>
    <row r="349" spans="1:7" x14ac:dyDescent="0.45">
      <c r="A349" s="1">
        <v>45179</v>
      </c>
      <c r="B349" t="s">
        <v>14</v>
      </c>
      <c r="C349" t="s">
        <v>15</v>
      </c>
      <c r="D349" t="s">
        <v>17</v>
      </c>
      <c r="E349">
        <v>290.47171480068101</v>
      </c>
      <c r="F349">
        <v>10</v>
      </c>
      <c r="G349">
        <v>25.644622127954001</v>
      </c>
    </row>
    <row r="350" spans="1:7" x14ac:dyDescent="0.45">
      <c r="A350" s="1">
        <v>45087</v>
      </c>
      <c r="B350" t="s">
        <v>7</v>
      </c>
      <c r="C350" t="s">
        <v>8</v>
      </c>
      <c r="D350" t="s">
        <v>11</v>
      </c>
      <c r="E350">
        <v>788.901808323556</v>
      </c>
      <c r="F350">
        <v>10</v>
      </c>
      <c r="G350">
        <v>183.04818393732899</v>
      </c>
    </row>
    <row r="351" spans="1:7" x14ac:dyDescent="0.45">
      <c r="A351" s="1">
        <v>45182</v>
      </c>
      <c r="B351" t="s">
        <v>13</v>
      </c>
      <c r="C351" t="s">
        <v>16</v>
      </c>
      <c r="D351" t="s">
        <v>11</v>
      </c>
      <c r="E351">
        <v>403.47367533009998</v>
      </c>
      <c r="F351">
        <v>8</v>
      </c>
      <c r="G351">
        <v>80.7200944052436</v>
      </c>
    </row>
    <row r="352" spans="1:7" x14ac:dyDescent="0.45">
      <c r="A352" s="1">
        <v>45249</v>
      </c>
      <c r="B352" t="s">
        <v>12</v>
      </c>
      <c r="C352" t="s">
        <v>8</v>
      </c>
      <c r="D352" t="s">
        <v>17</v>
      </c>
      <c r="E352">
        <v>518.474936078881</v>
      </c>
      <c r="F352">
        <v>1</v>
      </c>
      <c r="G352">
        <v>120.707522446325</v>
      </c>
    </row>
    <row r="353" spans="1:7" x14ac:dyDescent="0.45">
      <c r="A353" s="1">
        <v>45054</v>
      </c>
      <c r="B353" t="s">
        <v>13</v>
      </c>
      <c r="C353" t="s">
        <v>19</v>
      </c>
      <c r="D353" t="s">
        <v>20</v>
      </c>
      <c r="E353">
        <v>260.82359835906402</v>
      </c>
      <c r="F353">
        <v>13</v>
      </c>
      <c r="G353">
        <v>63.233200917534099</v>
      </c>
    </row>
    <row r="354" spans="1:7" x14ac:dyDescent="0.45">
      <c r="A354" s="1">
        <v>44944</v>
      </c>
      <c r="B354" t="s">
        <v>13</v>
      </c>
      <c r="C354" t="s">
        <v>16</v>
      </c>
      <c r="D354" t="s">
        <v>9</v>
      </c>
      <c r="E354">
        <v>987.78299641783894</v>
      </c>
      <c r="F354">
        <v>9</v>
      </c>
      <c r="G354">
        <v>290.26259375305699</v>
      </c>
    </row>
    <row r="355" spans="1:7" x14ac:dyDescent="0.45">
      <c r="A355" s="1">
        <v>45207</v>
      </c>
      <c r="B355" t="s">
        <v>14</v>
      </c>
      <c r="C355" t="s">
        <v>19</v>
      </c>
      <c r="D355" t="s">
        <v>20</v>
      </c>
      <c r="E355">
        <v>298.58078351448501</v>
      </c>
      <c r="F355">
        <v>10</v>
      </c>
      <c r="G355">
        <v>57.742782562102597</v>
      </c>
    </row>
    <row r="356" spans="1:7" x14ac:dyDescent="0.45">
      <c r="A356" s="1">
        <v>45149</v>
      </c>
      <c r="B356" t="s">
        <v>12</v>
      </c>
      <c r="C356" t="s">
        <v>16</v>
      </c>
      <c r="D356" t="s">
        <v>9</v>
      </c>
      <c r="E356">
        <v>773.03510559649601</v>
      </c>
      <c r="F356">
        <v>15</v>
      </c>
      <c r="G356">
        <v>104.67689868604501</v>
      </c>
    </row>
    <row r="357" spans="1:7" x14ac:dyDescent="0.45">
      <c r="A357" s="1">
        <v>44980</v>
      </c>
      <c r="B357" t="s">
        <v>12</v>
      </c>
      <c r="C357" t="s">
        <v>16</v>
      </c>
      <c r="D357" t="s">
        <v>11</v>
      </c>
      <c r="E357">
        <v>433.22069385319099</v>
      </c>
      <c r="F357">
        <v>5</v>
      </c>
      <c r="G357">
        <v>91.893101012540299</v>
      </c>
    </row>
    <row r="358" spans="1:7" x14ac:dyDescent="0.45">
      <c r="A358" s="1">
        <v>44984</v>
      </c>
      <c r="B358" t="s">
        <v>12</v>
      </c>
      <c r="C358" t="s">
        <v>19</v>
      </c>
      <c r="D358" t="s">
        <v>20</v>
      </c>
      <c r="E358">
        <v>214.15523103329801</v>
      </c>
      <c r="F358">
        <v>16</v>
      </c>
      <c r="G358">
        <v>14.371995526649201</v>
      </c>
    </row>
    <row r="359" spans="1:7" x14ac:dyDescent="0.45">
      <c r="A359" s="1">
        <v>45249</v>
      </c>
      <c r="B359" t="s">
        <v>12</v>
      </c>
      <c r="C359" t="s">
        <v>15</v>
      </c>
      <c r="D359" t="s">
        <v>9</v>
      </c>
      <c r="E359">
        <v>801.72157632521203</v>
      </c>
      <c r="F359">
        <v>13</v>
      </c>
      <c r="G359">
        <v>219.95177697496001</v>
      </c>
    </row>
    <row r="360" spans="1:7" x14ac:dyDescent="0.45">
      <c r="A360" s="1">
        <v>45286</v>
      </c>
      <c r="B360" t="s">
        <v>12</v>
      </c>
      <c r="C360" t="s">
        <v>10</v>
      </c>
      <c r="D360" t="s">
        <v>17</v>
      </c>
      <c r="E360">
        <v>340.27072113875198</v>
      </c>
      <c r="F360">
        <v>18</v>
      </c>
      <c r="G360">
        <v>27.169001761518</v>
      </c>
    </row>
    <row r="361" spans="1:7" x14ac:dyDescent="0.45">
      <c r="A361" s="1">
        <v>45100</v>
      </c>
      <c r="B361" t="s">
        <v>14</v>
      </c>
      <c r="C361" t="s">
        <v>8</v>
      </c>
      <c r="D361" t="s">
        <v>11</v>
      </c>
      <c r="E361">
        <v>866.54141392383201</v>
      </c>
      <c r="F361">
        <v>11</v>
      </c>
      <c r="G361">
        <v>114.349419767786</v>
      </c>
    </row>
    <row r="362" spans="1:7" x14ac:dyDescent="0.45">
      <c r="A362" s="1">
        <v>45206</v>
      </c>
      <c r="B362" t="s">
        <v>7</v>
      </c>
      <c r="C362" t="s">
        <v>16</v>
      </c>
      <c r="D362" t="s">
        <v>17</v>
      </c>
      <c r="E362">
        <v>916.10461306864397</v>
      </c>
      <c r="F362">
        <v>9</v>
      </c>
      <c r="G362">
        <v>232.63225722368799</v>
      </c>
    </row>
    <row r="363" spans="1:7" x14ac:dyDescent="0.45">
      <c r="A363" s="1">
        <v>45040</v>
      </c>
      <c r="B363" t="s">
        <v>13</v>
      </c>
      <c r="C363" t="s">
        <v>8</v>
      </c>
      <c r="D363" t="s">
        <v>11</v>
      </c>
      <c r="E363">
        <v>861.22559703736295</v>
      </c>
      <c r="F363">
        <v>16</v>
      </c>
      <c r="G363">
        <v>171.66645726328599</v>
      </c>
    </row>
    <row r="364" spans="1:7" x14ac:dyDescent="0.45">
      <c r="A364" s="1">
        <v>45214</v>
      </c>
      <c r="B364" t="s">
        <v>12</v>
      </c>
      <c r="C364" t="s">
        <v>19</v>
      </c>
      <c r="D364" t="s">
        <v>20</v>
      </c>
      <c r="E364">
        <v>44.657835658737497</v>
      </c>
      <c r="F364">
        <v>2</v>
      </c>
      <c r="G364">
        <v>6.6276193764347999</v>
      </c>
    </row>
    <row r="365" spans="1:7" x14ac:dyDescent="0.45">
      <c r="A365" s="1">
        <v>45268</v>
      </c>
      <c r="B365" t="s">
        <v>7</v>
      </c>
      <c r="C365" t="s">
        <v>8</v>
      </c>
      <c r="D365" t="s">
        <v>20</v>
      </c>
      <c r="E365">
        <v>789.499611555054</v>
      </c>
      <c r="F365">
        <v>2</v>
      </c>
      <c r="G365">
        <v>132.91929787097499</v>
      </c>
    </row>
    <row r="366" spans="1:7" x14ac:dyDescent="0.45">
      <c r="A366" s="1">
        <v>45077</v>
      </c>
      <c r="B366" t="s">
        <v>7</v>
      </c>
      <c r="C366" t="s">
        <v>19</v>
      </c>
      <c r="D366" t="s">
        <v>11</v>
      </c>
      <c r="E366">
        <v>417.22607183415198</v>
      </c>
      <c r="F366">
        <v>12</v>
      </c>
      <c r="G366">
        <v>109.996166607172</v>
      </c>
    </row>
    <row r="367" spans="1:7" x14ac:dyDescent="0.45">
      <c r="A367" s="1">
        <v>45053</v>
      </c>
      <c r="B367" t="s">
        <v>13</v>
      </c>
      <c r="C367" t="s">
        <v>8</v>
      </c>
      <c r="D367" t="s">
        <v>11</v>
      </c>
      <c r="E367">
        <v>874.98569098040196</v>
      </c>
      <c r="F367">
        <v>8</v>
      </c>
      <c r="G367">
        <v>118.12402771726499</v>
      </c>
    </row>
    <row r="368" spans="1:7" x14ac:dyDescent="0.45">
      <c r="A368" s="1">
        <v>45081</v>
      </c>
      <c r="B368" t="s">
        <v>14</v>
      </c>
      <c r="C368" t="s">
        <v>10</v>
      </c>
      <c r="D368" t="s">
        <v>11</v>
      </c>
      <c r="E368">
        <v>641.574720057891</v>
      </c>
      <c r="F368">
        <v>9</v>
      </c>
      <c r="G368">
        <v>171.56504927334501</v>
      </c>
    </row>
    <row r="369" spans="1:7" x14ac:dyDescent="0.45">
      <c r="A369" s="1">
        <v>45199</v>
      </c>
      <c r="B369" t="s">
        <v>18</v>
      </c>
      <c r="C369" t="s">
        <v>10</v>
      </c>
      <c r="D369" t="s">
        <v>20</v>
      </c>
      <c r="E369">
        <v>835.30670280251798</v>
      </c>
      <c r="F369">
        <v>12</v>
      </c>
      <c r="G369">
        <v>60.170155375755002</v>
      </c>
    </row>
    <row r="370" spans="1:7" x14ac:dyDescent="0.45">
      <c r="A370" s="1">
        <v>45030</v>
      </c>
      <c r="B370" t="s">
        <v>18</v>
      </c>
      <c r="C370" t="s">
        <v>10</v>
      </c>
      <c r="D370" t="s">
        <v>9</v>
      </c>
      <c r="E370">
        <v>504.437452168167</v>
      </c>
      <c r="F370">
        <v>9</v>
      </c>
      <c r="G370">
        <v>123.183428736842</v>
      </c>
    </row>
    <row r="371" spans="1:7" x14ac:dyDescent="0.45">
      <c r="A371" s="1">
        <v>45225</v>
      </c>
      <c r="B371" t="s">
        <v>7</v>
      </c>
      <c r="C371" t="s">
        <v>10</v>
      </c>
      <c r="D371" t="s">
        <v>17</v>
      </c>
      <c r="E371">
        <v>539.675249552943</v>
      </c>
      <c r="F371">
        <v>10</v>
      </c>
      <c r="G371">
        <v>141.333882571852</v>
      </c>
    </row>
    <row r="372" spans="1:7" x14ac:dyDescent="0.45">
      <c r="A372" s="1">
        <v>45172</v>
      </c>
      <c r="B372" t="s">
        <v>13</v>
      </c>
      <c r="C372" t="s">
        <v>10</v>
      </c>
      <c r="D372" t="s">
        <v>17</v>
      </c>
      <c r="E372">
        <v>152.94375581233001</v>
      </c>
      <c r="F372">
        <v>2</v>
      </c>
      <c r="G372">
        <v>14.5991564650977</v>
      </c>
    </row>
    <row r="373" spans="1:7" x14ac:dyDescent="0.45">
      <c r="A373" s="1">
        <v>45102</v>
      </c>
      <c r="B373" t="s">
        <v>18</v>
      </c>
      <c r="C373" t="s">
        <v>10</v>
      </c>
      <c r="D373" t="s">
        <v>20</v>
      </c>
      <c r="E373">
        <v>786.14748510246102</v>
      </c>
      <c r="F373">
        <v>16</v>
      </c>
      <c r="G373">
        <v>123.886335291865</v>
      </c>
    </row>
    <row r="374" spans="1:7" x14ac:dyDescent="0.45">
      <c r="A374" s="1">
        <v>44965</v>
      </c>
      <c r="B374" t="s">
        <v>7</v>
      </c>
      <c r="C374" t="s">
        <v>19</v>
      </c>
      <c r="D374" t="s">
        <v>17</v>
      </c>
      <c r="E374">
        <v>425.19571555030097</v>
      </c>
      <c r="F374">
        <v>7</v>
      </c>
      <c r="G374">
        <v>38.852234555396699</v>
      </c>
    </row>
    <row r="375" spans="1:7" x14ac:dyDescent="0.45">
      <c r="A375" s="1">
        <v>45096</v>
      </c>
      <c r="B375" t="s">
        <v>14</v>
      </c>
      <c r="C375" t="s">
        <v>16</v>
      </c>
      <c r="D375" t="s">
        <v>11</v>
      </c>
      <c r="E375">
        <v>505.07931708886599</v>
      </c>
      <c r="F375">
        <v>2</v>
      </c>
      <c r="G375">
        <v>114.47674858558599</v>
      </c>
    </row>
    <row r="376" spans="1:7" x14ac:dyDescent="0.45">
      <c r="A376" s="1">
        <v>45173</v>
      </c>
      <c r="B376" t="s">
        <v>18</v>
      </c>
      <c r="C376" t="s">
        <v>8</v>
      </c>
      <c r="D376" t="s">
        <v>9</v>
      </c>
      <c r="E376">
        <v>787.24673695474996</v>
      </c>
      <c r="F376">
        <v>1</v>
      </c>
      <c r="G376">
        <v>144.72503273337401</v>
      </c>
    </row>
    <row r="377" spans="1:7" x14ac:dyDescent="0.45">
      <c r="A377" s="1">
        <v>44952</v>
      </c>
      <c r="B377" t="s">
        <v>7</v>
      </c>
      <c r="C377" t="s">
        <v>10</v>
      </c>
      <c r="D377" t="s">
        <v>17</v>
      </c>
      <c r="E377">
        <v>602.856946078644</v>
      </c>
      <c r="F377">
        <v>19</v>
      </c>
      <c r="G377">
        <v>125.895120446192</v>
      </c>
    </row>
    <row r="378" spans="1:7" x14ac:dyDescent="0.45">
      <c r="A378" s="1">
        <v>45281</v>
      </c>
      <c r="B378" t="s">
        <v>7</v>
      </c>
      <c r="C378" t="s">
        <v>19</v>
      </c>
      <c r="D378" t="s">
        <v>9</v>
      </c>
      <c r="E378">
        <v>209.08774016824</v>
      </c>
      <c r="F378">
        <v>4</v>
      </c>
      <c r="G378">
        <v>20.7251409817585</v>
      </c>
    </row>
    <row r="379" spans="1:7" x14ac:dyDescent="0.45">
      <c r="A379" s="1">
        <v>45232</v>
      </c>
      <c r="B379" t="s">
        <v>12</v>
      </c>
      <c r="C379" t="s">
        <v>19</v>
      </c>
      <c r="D379" t="s">
        <v>11</v>
      </c>
      <c r="E379">
        <v>594.33033255938301</v>
      </c>
      <c r="F379">
        <v>2</v>
      </c>
      <c r="G379">
        <v>61.178263780891101</v>
      </c>
    </row>
    <row r="380" spans="1:7" x14ac:dyDescent="0.45">
      <c r="A380" s="1">
        <v>44939</v>
      </c>
      <c r="B380" t="s">
        <v>14</v>
      </c>
      <c r="C380" t="s">
        <v>19</v>
      </c>
      <c r="D380" t="s">
        <v>17</v>
      </c>
      <c r="E380">
        <v>413.55652939985902</v>
      </c>
      <c r="F380">
        <v>14</v>
      </c>
      <c r="G380">
        <v>24.968198949306199</v>
      </c>
    </row>
    <row r="381" spans="1:7" x14ac:dyDescent="0.45">
      <c r="A381" s="1">
        <v>45242</v>
      </c>
      <c r="B381" t="s">
        <v>12</v>
      </c>
      <c r="C381" t="s">
        <v>16</v>
      </c>
      <c r="D381" t="s">
        <v>20</v>
      </c>
      <c r="E381">
        <v>474.830286623424</v>
      </c>
      <c r="F381">
        <v>2</v>
      </c>
      <c r="G381">
        <v>61.973369343443203</v>
      </c>
    </row>
    <row r="382" spans="1:7" x14ac:dyDescent="0.45">
      <c r="A382" s="1">
        <v>45239</v>
      </c>
      <c r="B382" t="s">
        <v>13</v>
      </c>
      <c r="C382" t="s">
        <v>8</v>
      </c>
      <c r="D382" t="s">
        <v>9</v>
      </c>
      <c r="E382">
        <v>38.028161658641103</v>
      </c>
      <c r="F382">
        <v>15</v>
      </c>
      <c r="G382">
        <v>7.2229232001216301</v>
      </c>
    </row>
    <row r="383" spans="1:7" x14ac:dyDescent="0.45">
      <c r="A383" s="1">
        <v>44962</v>
      </c>
      <c r="B383" t="s">
        <v>12</v>
      </c>
      <c r="C383" t="s">
        <v>16</v>
      </c>
      <c r="D383" t="s">
        <v>11</v>
      </c>
      <c r="E383">
        <v>217.92905602111799</v>
      </c>
      <c r="F383">
        <v>12</v>
      </c>
      <c r="G383">
        <v>57.638689284805302</v>
      </c>
    </row>
    <row r="384" spans="1:7" x14ac:dyDescent="0.45">
      <c r="A384" s="1">
        <v>45099</v>
      </c>
      <c r="B384" t="s">
        <v>12</v>
      </c>
      <c r="C384" t="s">
        <v>15</v>
      </c>
      <c r="D384" t="s">
        <v>9</v>
      </c>
      <c r="E384">
        <v>288.22770056721799</v>
      </c>
      <c r="F384">
        <v>5</v>
      </c>
      <c r="G384">
        <v>62.468126184905799</v>
      </c>
    </row>
    <row r="385" spans="1:7" x14ac:dyDescent="0.45">
      <c r="A385" s="1">
        <v>44946</v>
      </c>
      <c r="B385" t="s">
        <v>18</v>
      </c>
      <c r="C385" t="s">
        <v>19</v>
      </c>
      <c r="D385" t="s">
        <v>17</v>
      </c>
      <c r="E385">
        <v>715.830407780217</v>
      </c>
      <c r="F385">
        <v>7</v>
      </c>
      <c r="G385">
        <v>113.70900232032299</v>
      </c>
    </row>
    <row r="386" spans="1:7" x14ac:dyDescent="0.45">
      <c r="A386" s="1">
        <v>45247</v>
      </c>
      <c r="B386" t="s">
        <v>7</v>
      </c>
      <c r="C386" t="s">
        <v>15</v>
      </c>
      <c r="D386" t="s">
        <v>17</v>
      </c>
      <c r="E386">
        <v>21.377548565134099</v>
      </c>
      <c r="F386">
        <v>10</v>
      </c>
      <c r="G386">
        <v>6.1627203117234304</v>
      </c>
    </row>
    <row r="387" spans="1:7" x14ac:dyDescent="0.45">
      <c r="A387" s="1">
        <v>45190</v>
      </c>
      <c r="B387" t="s">
        <v>14</v>
      </c>
      <c r="C387" t="s">
        <v>10</v>
      </c>
      <c r="D387" t="s">
        <v>20</v>
      </c>
      <c r="E387">
        <v>414.68948861683998</v>
      </c>
      <c r="F387">
        <v>14</v>
      </c>
      <c r="G387">
        <v>95.300330535069193</v>
      </c>
    </row>
    <row r="388" spans="1:7" x14ac:dyDescent="0.45">
      <c r="A388" s="1">
        <v>45068</v>
      </c>
      <c r="B388" t="s">
        <v>12</v>
      </c>
      <c r="C388" t="s">
        <v>10</v>
      </c>
      <c r="D388" t="s">
        <v>11</v>
      </c>
      <c r="E388">
        <v>924.78660172147499</v>
      </c>
      <c r="F388">
        <v>14</v>
      </c>
      <c r="G388">
        <v>261.29040933477899</v>
      </c>
    </row>
    <row r="389" spans="1:7" x14ac:dyDescent="0.45">
      <c r="A389" s="1">
        <v>45069</v>
      </c>
      <c r="B389" t="s">
        <v>14</v>
      </c>
      <c r="C389" t="s">
        <v>16</v>
      </c>
      <c r="D389" t="s">
        <v>11</v>
      </c>
      <c r="E389">
        <v>120.761810383632</v>
      </c>
      <c r="F389">
        <v>5</v>
      </c>
      <c r="G389">
        <v>21.966210216426202</v>
      </c>
    </row>
    <row r="390" spans="1:7" x14ac:dyDescent="0.45">
      <c r="A390" s="1">
        <v>45018</v>
      </c>
      <c r="B390" t="s">
        <v>12</v>
      </c>
      <c r="C390" t="s">
        <v>8</v>
      </c>
      <c r="D390" t="s">
        <v>20</v>
      </c>
      <c r="E390">
        <v>521.26014433642399</v>
      </c>
      <c r="F390">
        <v>18</v>
      </c>
      <c r="G390">
        <v>59.802127128818498</v>
      </c>
    </row>
    <row r="391" spans="1:7" x14ac:dyDescent="0.45">
      <c r="A391" s="1">
        <v>45280</v>
      </c>
      <c r="B391" t="s">
        <v>13</v>
      </c>
      <c r="C391" t="s">
        <v>15</v>
      </c>
      <c r="D391" t="s">
        <v>20</v>
      </c>
      <c r="E391">
        <v>788.65715856693805</v>
      </c>
      <c r="F391">
        <v>14</v>
      </c>
      <c r="G391">
        <v>49.848394019574002</v>
      </c>
    </row>
    <row r="392" spans="1:7" x14ac:dyDescent="0.45">
      <c r="A392" s="1">
        <v>45248</v>
      </c>
      <c r="B392" t="s">
        <v>12</v>
      </c>
      <c r="C392" t="s">
        <v>8</v>
      </c>
      <c r="D392" t="s">
        <v>11</v>
      </c>
      <c r="E392">
        <v>943.10599444491504</v>
      </c>
      <c r="F392">
        <v>2</v>
      </c>
      <c r="G392">
        <v>218.34904369976201</v>
      </c>
    </row>
    <row r="393" spans="1:7" x14ac:dyDescent="0.45">
      <c r="A393" s="1">
        <v>45214</v>
      </c>
      <c r="B393" t="s">
        <v>18</v>
      </c>
      <c r="C393" t="s">
        <v>16</v>
      </c>
      <c r="D393" t="s">
        <v>9</v>
      </c>
      <c r="E393">
        <v>749.30887313838002</v>
      </c>
      <c r="F393">
        <v>12</v>
      </c>
      <c r="G393">
        <v>60.188796842877501</v>
      </c>
    </row>
    <row r="394" spans="1:7" x14ac:dyDescent="0.45">
      <c r="A394" s="1">
        <v>45141</v>
      </c>
      <c r="B394" t="s">
        <v>7</v>
      </c>
      <c r="C394" t="s">
        <v>10</v>
      </c>
      <c r="D394" t="s">
        <v>9</v>
      </c>
      <c r="E394">
        <v>723.35989315796201</v>
      </c>
      <c r="F394">
        <v>6</v>
      </c>
      <c r="G394">
        <v>90.921840767322706</v>
      </c>
    </row>
    <row r="395" spans="1:7" x14ac:dyDescent="0.45">
      <c r="A395" s="1">
        <v>45268</v>
      </c>
      <c r="B395" t="s">
        <v>13</v>
      </c>
      <c r="C395" t="s">
        <v>8</v>
      </c>
      <c r="D395" t="s">
        <v>20</v>
      </c>
      <c r="E395">
        <v>828.22320929380396</v>
      </c>
      <c r="F395">
        <v>4</v>
      </c>
      <c r="G395">
        <v>151.66235151048701</v>
      </c>
    </row>
    <row r="396" spans="1:7" x14ac:dyDescent="0.45">
      <c r="A396" s="1">
        <v>44977</v>
      </c>
      <c r="B396" t="s">
        <v>12</v>
      </c>
      <c r="C396" t="s">
        <v>8</v>
      </c>
      <c r="D396" t="s">
        <v>9</v>
      </c>
      <c r="E396">
        <v>451.73920876776799</v>
      </c>
      <c r="F396">
        <v>13</v>
      </c>
      <c r="G396">
        <v>86.329236133145102</v>
      </c>
    </row>
    <row r="397" spans="1:7" x14ac:dyDescent="0.45">
      <c r="A397" s="1">
        <v>45079</v>
      </c>
      <c r="B397" t="s">
        <v>14</v>
      </c>
      <c r="C397" t="s">
        <v>10</v>
      </c>
      <c r="D397" t="s">
        <v>11</v>
      </c>
      <c r="E397">
        <v>807.78608729165398</v>
      </c>
      <c r="F397">
        <v>4</v>
      </c>
      <c r="G397">
        <v>161.67499206142</v>
      </c>
    </row>
    <row r="398" spans="1:7" x14ac:dyDescent="0.45">
      <c r="A398" s="1">
        <v>45112</v>
      </c>
      <c r="B398" t="s">
        <v>13</v>
      </c>
      <c r="C398" t="s">
        <v>15</v>
      </c>
      <c r="D398" t="s">
        <v>17</v>
      </c>
      <c r="E398">
        <v>17.884760697996601</v>
      </c>
      <c r="F398">
        <v>14</v>
      </c>
      <c r="G398">
        <v>1.63759723441752</v>
      </c>
    </row>
    <row r="399" spans="1:7" x14ac:dyDescent="0.45">
      <c r="A399" s="1">
        <v>44989</v>
      </c>
      <c r="B399" t="s">
        <v>13</v>
      </c>
      <c r="C399" t="s">
        <v>10</v>
      </c>
      <c r="D399" t="s">
        <v>17</v>
      </c>
      <c r="E399">
        <v>925.31544482303605</v>
      </c>
      <c r="F399">
        <v>16</v>
      </c>
      <c r="G399">
        <v>134.10999365577399</v>
      </c>
    </row>
    <row r="400" spans="1:7" x14ac:dyDescent="0.45">
      <c r="A400" s="1">
        <v>45116</v>
      </c>
      <c r="B400" t="s">
        <v>12</v>
      </c>
      <c r="C400" t="s">
        <v>8</v>
      </c>
      <c r="D400" t="s">
        <v>9</v>
      </c>
      <c r="E400">
        <v>448.87344442200299</v>
      </c>
      <c r="F400">
        <v>4</v>
      </c>
      <c r="G400">
        <v>91.704196871942401</v>
      </c>
    </row>
    <row r="401" spans="1:7" x14ac:dyDescent="0.45">
      <c r="A401" s="1">
        <v>45051</v>
      </c>
      <c r="B401" t="s">
        <v>13</v>
      </c>
      <c r="C401" t="s">
        <v>15</v>
      </c>
      <c r="D401" t="s">
        <v>20</v>
      </c>
      <c r="E401">
        <v>557.84638598709</v>
      </c>
      <c r="F401">
        <v>1</v>
      </c>
      <c r="G401">
        <v>163.14480647386901</v>
      </c>
    </row>
    <row r="402" spans="1:7" x14ac:dyDescent="0.45">
      <c r="A402" s="1">
        <v>45076</v>
      </c>
      <c r="B402" t="s">
        <v>14</v>
      </c>
      <c r="C402" t="s">
        <v>15</v>
      </c>
      <c r="D402" t="s">
        <v>20</v>
      </c>
      <c r="E402">
        <v>262.33342642573302</v>
      </c>
      <c r="F402">
        <v>13</v>
      </c>
      <c r="G402">
        <v>60.837163702990097</v>
      </c>
    </row>
    <row r="403" spans="1:7" x14ac:dyDescent="0.45">
      <c r="A403" s="1">
        <v>45240</v>
      </c>
      <c r="B403" t="s">
        <v>13</v>
      </c>
      <c r="C403" t="s">
        <v>10</v>
      </c>
      <c r="D403" t="s">
        <v>20</v>
      </c>
      <c r="E403">
        <v>745.10552451201704</v>
      </c>
      <c r="F403">
        <v>4</v>
      </c>
      <c r="G403">
        <v>209.11456531216299</v>
      </c>
    </row>
    <row r="404" spans="1:7" x14ac:dyDescent="0.45">
      <c r="A404" s="1">
        <v>44984</v>
      </c>
      <c r="B404" t="s">
        <v>14</v>
      </c>
      <c r="C404" t="s">
        <v>8</v>
      </c>
      <c r="D404" t="s">
        <v>20</v>
      </c>
      <c r="E404">
        <v>85.869448410496304</v>
      </c>
      <c r="F404">
        <v>18</v>
      </c>
      <c r="G404">
        <v>20.6561546753416</v>
      </c>
    </row>
    <row r="405" spans="1:7" x14ac:dyDescent="0.45">
      <c r="A405" s="1">
        <v>45268</v>
      </c>
      <c r="B405" t="s">
        <v>12</v>
      </c>
      <c r="C405" t="s">
        <v>16</v>
      </c>
      <c r="D405" t="s">
        <v>20</v>
      </c>
      <c r="E405">
        <v>873.90944452136603</v>
      </c>
      <c r="F405">
        <v>6</v>
      </c>
      <c r="G405">
        <v>172.97223412572399</v>
      </c>
    </row>
    <row r="406" spans="1:7" x14ac:dyDescent="0.45">
      <c r="A406" s="1">
        <v>45231</v>
      </c>
      <c r="B406" t="s">
        <v>7</v>
      </c>
      <c r="C406" t="s">
        <v>8</v>
      </c>
      <c r="D406" t="s">
        <v>9</v>
      </c>
      <c r="E406">
        <v>829.83566071627899</v>
      </c>
      <c r="F406">
        <v>3</v>
      </c>
      <c r="G406">
        <v>81.32874288587</v>
      </c>
    </row>
    <row r="407" spans="1:7" x14ac:dyDescent="0.45">
      <c r="A407" s="1">
        <v>45106</v>
      </c>
      <c r="B407" t="s">
        <v>13</v>
      </c>
      <c r="C407" t="s">
        <v>19</v>
      </c>
      <c r="D407" t="s">
        <v>17</v>
      </c>
      <c r="E407">
        <v>223.899515082318</v>
      </c>
      <c r="F407">
        <v>13</v>
      </c>
      <c r="G407">
        <v>48.512624296884198</v>
      </c>
    </row>
    <row r="408" spans="1:7" x14ac:dyDescent="0.45">
      <c r="A408" s="1">
        <v>45096</v>
      </c>
      <c r="B408" t="s">
        <v>7</v>
      </c>
      <c r="C408" t="s">
        <v>16</v>
      </c>
      <c r="D408" t="s">
        <v>17</v>
      </c>
      <c r="E408">
        <v>811.23115430240898</v>
      </c>
      <c r="F408">
        <v>16</v>
      </c>
      <c r="G408">
        <v>166.98778893066799</v>
      </c>
    </row>
    <row r="409" spans="1:7" x14ac:dyDescent="0.45">
      <c r="A409" s="1">
        <v>45252</v>
      </c>
      <c r="B409" t="s">
        <v>14</v>
      </c>
      <c r="C409" t="s">
        <v>15</v>
      </c>
      <c r="D409" t="s">
        <v>9</v>
      </c>
      <c r="E409">
        <v>788.49415573086605</v>
      </c>
      <c r="F409">
        <v>5</v>
      </c>
      <c r="G409">
        <v>158.185562764937</v>
      </c>
    </row>
    <row r="410" spans="1:7" x14ac:dyDescent="0.45">
      <c r="A410" s="1">
        <v>45197</v>
      </c>
      <c r="B410" t="s">
        <v>13</v>
      </c>
      <c r="C410" t="s">
        <v>16</v>
      </c>
      <c r="D410" t="s">
        <v>20</v>
      </c>
      <c r="E410">
        <v>635.89443177640896</v>
      </c>
      <c r="F410">
        <v>4</v>
      </c>
      <c r="G410">
        <v>109.657748142944</v>
      </c>
    </row>
    <row r="411" spans="1:7" x14ac:dyDescent="0.45">
      <c r="A411" s="1">
        <v>44980</v>
      </c>
      <c r="B411" t="s">
        <v>18</v>
      </c>
      <c r="C411" t="s">
        <v>15</v>
      </c>
      <c r="D411" t="s">
        <v>9</v>
      </c>
      <c r="E411">
        <v>379.78497513068999</v>
      </c>
      <c r="F411">
        <v>8</v>
      </c>
      <c r="G411">
        <v>69.183207556220097</v>
      </c>
    </row>
    <row r="412" spans="1:7" x14ac:dyDescent="0.45">
      <c r="A412" s="1">
        <v>45027</v>
      </c>
      <c r="B412" t="s">
        <v>7</v>
      </c>
      <c r="C412" t="s">
        <v>15</v>
      </c>
      <c r="D412" t="s">
        <v>17</v>
      </c>
      <c r="E412">
        <v>278.78376664004901</v>
      </c>
      <c r="F412">
        <v>19</v>
      </c>
      <c r="G412">
        <v>37.248475190652897</v>
      </c>
    </row>
    <row r="413" spans="1:7" x14ac:dyDescent="0.45">
      <c r="A413" s="1">
        <v>45190</v>
      </c>
      <c r="B413" t="s">
        <v>13</v>
      </c>
      <c r="C413" t="s">
        <v>16</v>
      </c>
      <c r="D413" t="s">
        <v>11</v>
      </c>
      <c r="E413">
        <v>239.46575438645601</v>
      </c>
      <c r="F413">
        <v>14</v>
      </c>
      <c r="G413">
        <v>43.062689145835598</v>
      </c>
    </row>
    <row r="414" spans="1:7" x14ac:dyDescent="0.45">
      <c r="A414" s="1">
        <v>44979</v>
      </c>
      <c r="B414" t="s">
        <v>7</v>
      </c>
      <c r="C414" t="s">
        <v>15</v>
      </c>
      <c r="D414" t="s">
        <v>9</v>
      </c>
      <c r="E414">
        <v>325.42287313597097</v>
      </c>
      <c r="F414">
        <v>7</v>
      </c>
      <c r="G414">
        <v>32.343446264515798</v>
      </c>
    </row>
    <row r="415" spans="1:7" x14ac:dyDescent="0.45">
      <c r="A415" s="1">
        <v>44986</v>
      </c>
      <c r="B415" t="s">
        <v>13</v>
      </c>
      <c r="C415" t="s">
        <v>15</v>
      </c>
      <c r="D415" t="s">
        <v>20</v>
      </c>
      <c r="E415">
        <v>904.52285899820504</v>
      </c>
      <c r="F415">
        <v>14</v>
      </c>
      <c r="G415">
        <v>227.300804923051</v>
      </c>
    </row>
    <row r="416" spans="1:7" x14ac:dyDescent="0.45">
      <c r="A416" s="1">
        <v>45034</v>
      </c>
      <c r="B416" t="s">
        <v>12</v>
      </c>
      <c r="C416" t="s">
        <v>19</v>
      </c>
      <c r="D416" t="s">
        <v>17</v>
      </c>
      <c r="E416">
        <v>86.864368228893397</v>
      </c>
      <c r="F416">
        <v>6</v>
      </c>
      <c r="G416">
        <v>8.3775678617924196</v>
      </c>
    </row>
    <row r="417" spans="1:7" x14ac:dyDescent="0.45">
      <c r="A417" s="1">
        <v>44931</v>
      </c>
      <c r="B417" t="s">
        <v>7</v>
      </c>
      <c r="C417" t="s">
        <v>8</v>
      </c>
      <c r="D417" t="s">
        <v>17</v>
      </c>
      <c r="E417">
        <v>830.58256349042904</v>
      </c>
      <c r="F417">
        <v>12</v>
      </c>
      <c r="G417">
        <v>59.172007891187398</v>
      </c>
    </row>
    <row r="418" spans="1:7" x14ac:dyDescent="0.45">
      <c r="A418" s="1">
        <v>45029</v>
      </c>
      <c r="B418" t="s">
        <v>18</v>
      </c>
      <c r="C418" t="s">
        <v>8</v>
      </c>
      <c r="D418" t="s">
        <v>17</v>
      </c>
      <c r="E418">
        <v>355.40117429140503</v>
      </c>
      <c r="F418">
        <v>16</v>
      </c>
      <c r="G418">
        <v>56.5306462263935</v>
      </c>
    </row>
    <row r="419" spans="1:7" x14ac:dyDescent="0.45">
      <c r="A419" s="1">
        <v>45122</v>
      </c>
      <c r="B419" t="s">
        <v>18</v>
      </c>
      <c r="C419" t="s">
        <v>19</v>
      </c>
      <c r="D419" t="s">
        <v>17</v>
      </c>
      <c r="E419">
        <v>526.38340205124405</v>
      </c>
      <c r="F419">
        <v>17</v>
      </c>
      <c r="G419">
        <v>112.949697503273</v>
      </c>
    </row>
    <row r="420" spans="1:7" x14ac:dyDescent="0.45">
      <c r="A420" s="1">
        <v>45188</v>
      </c>
      <c r="B420" t="s">
        <v>14</v>
      </c>
      <c r="C420" t="s">
        <v>16</v>
      </c>
      <c r="D420" t="s">
        <v>20</v>
      </c>
      <c r="E420">
        <v>796.54077731200505</v>
      </c>
      <c r="F420">
        <v>13</v>
      </c>
      <c r="G420">
        <v>126.991863859376</v>
      </c>
    </row>
    <row r="421" spans="1:7" x14ac:dyDescent="0.45">
      <c r="A421" s="1">
        <v>45291</v>
      </c>
      <c r="B421" t="s">
        <v>13</v>
      </c>
      <c r="C421" t="s">
        <v>10</v>
      </c>
      <c r="D421" t="s">
        <v>11</v>
      </c>
      <c r="E421">
        <v>885.53278155274097</v>
      </c>
      <c r="F421">
        <v>14</v>
      </c>
      <c r="G421">
        <v>105.545353145901</v>
      </c>
    </row>
    <row r="422" spans="1:7" x14ac:dyDescent="0.45">
      <c r="A422" s="1">
        <v>45276</v>
      </c>
      <c r="B422" t="s">
        <v>7</v>
      </c>
      <c r="C422" t="s">
        <v>10</v>
      </c>
      <c r="D422" t="s">
        <v>17</v>
      </c>
      <c r="E422">
        <v>351.33360587191999</v>
      </c>
      <c r="F422">
        <v>7</v>
      </c>
      <c r="G422">
        <v>66.592753976102799</v>
      </c>
    </row>
    <row r="423" spans="1:7" x14ac:dyDescent="0.45">
      <c r="A423" s="1">
        <v>44973</v>
      </c>
      <c r="B423" t="s">
        <v>14</v>
      </c>
      <c r="C423" t="s">
        <v>10</v>
      </c>
      <c r="D423" t="s">
        <v>9</v>
      </c>
      <c r="E423">
        <v>467.22504646235899</v>
      </c>
      <c r="F423">
        <v>14</v>
      </c>
      <c r="G423">
        <v>63.893297894496001</v>
      </c>
    </row>
    <row r="424" spans="1:7" x14ac:dyDescent="0.45">
      <c r="A424" s="1">
        <v>45281</v>
      </c>
      <c r="B424" t="s">
        <v>7</v>
      </c>
      <c r="C424" t="s">
        <v>19</v>
      </c>
      <c r="D424" t="s">
        <v>11</v>
      </c>
      <c r="E424">
        <v>420.37090416862401</v>
      </c>
      <c r="F424">
        <v>15</v>
      </c>
      <c r="G424">
        <v>119.056153800488</v>
      </c>
    </row>
    <row r="425" spans="1:7" x14ac:dyDescent="0.45">
      <c r="A425" s="1">
        <v>45237</v>
      </c>
      <c r="B425" t="s">
        <v>13</v>
      </c>
      <c r="C425" t="s">
        <v>19</v>
      </c>
      <c r="D425" t="s">
        <v>17</v>
      </c>
      <c r="E425">
        <v>23.118523168871398</v>
      </c>
      <c r="F425">
        <v>12</v>
      </c>
      <c r="G425">
        <v>6.4884744175865201</v>
      </c>
    </row>
    <row r="426" spans="1:7" x14ac:dyDescent="0.45">
      <c r="A426" s="1">
        <v>45234</v>
      </c>
      <c r="B426" t="s">
        <v>18</v>
      </c>
      <c r="C426" t="s">
        <v>15</v>
      </c>
      <c r="D426" t="s">
        <v>11</v>
      </c>
      <c r="E426">
        <v>302.98345997006999</v>
      </c>
      <c r="F426">
        <v>17</v>
      </c>
      <c r="G426">
        <v>53.201761050155099</v>
      </c>
    </row>
    <row r="427" spans="1:7" x14ac:dyDescent="0.45">
      <c r="A427" s="1">
        <v>45070</v>
      </c>
      <c r="B427" t="s">
        <v>12</v>
      </c>
      <c r="C427" t="s">
        <v>10</v>
      </c>
      <c r="D427" t="s">
        <v>9</v>
      </c>
      <c r="E427">
        <v>464.59734139523601</v>
      </c>
      <c r="F427">
        <v>9</v>
      </c>
      <c r="G427">
        <v>61.313375046495402</v>
      </c>
    </row>
    <row r="428" spans="1:7" x14ac:dyDescent="0.45">
      <c r="A428" s="1">
        <v>45195</v>
      </c>
      <c r="B428" t="s">
        <v>18</v>
      </c>
      <c r="C428" t="s">
        <v>16</v>
      </c>
      <c r="D428" t="s">
        <v>17</v>
      </c>
      <c r="E428">
        <v>416.98267279163503</v>
      </c>
      <c r="F428">
        <v>15</v>
      </c>
      <c r="G428">
        <v>97.691994682829105</v>
      </c>
    </row>
    <row r="429" spans="1:7" x14ac:dyDescent="0.45">
      <c r="A429" s="1">
        <v>45050</v>
      </c>
      <c r="B429" t="s">
        <v>14</v>
      </c>
      <c r="C429" t="s">
        <v>16</v>
      </c>
      <c r="D429" t="s">
        <v>9</v>
      </c>
      <c r="E429">
        <v>724.70993524052199</v>
      </c>
      <c r="F429">
        <v>12</v>
      </c>
      <c r="G429">
        <v>42.887055485551599</v>
      </c>
    </row>
    <row r="430" spans="1:7" x14ac:dyDescent="0.45">
      <c r="A430" s="1">
        <v>45032</v>
      </c>
      <c r="B430" t="s">
        <v>12</v>
      </c>
      <c r="C430" t="s">
        <v>10</v>
      </c>
      <c r="D430" t="s">
        <v>20</v>
      </c>
      <c r="E430">
        <v>390.95558104889199</v>
      </c>
      <c r="F430">
        <v>2</v>
      </c>
      <c r="G430">
        <v>65.951177207894702</v>
      </c>
    </row>
    <row r="431" spans="1:7" x14ac:dyDescent="0.45">
      <c r="A431" s="1">
        <v>45084</v>
      </c>
      <c r="B431" t="s">
        <v>14</v>
      </c>
      <c r="C431" t="s">
        <v>10</v>
      </c>
      <c r="D431" t="s">
        <v>17</v>
      </c>
      <c r="E431">
        <v>494.48268448096297</v>
      </c>
      <c r="F431">
        <v>5</v>
      </c>
      <c r="G431">
        <v>66.300657937184198</v>
      </c>
    </row>
    <row r="432" spans="1:7" x14ac:dyDescent="0.45">
      <c r="A432" s="1">
        <v>45073</v>
      </c>
      <c r="B432" t="s">
        <v>13</v>
      </c>
      <c r="C432" t="s">
        <v>10</v>
      </c>
      <c r="D432" t="s">
        <v>17</v>
      </c>
      <c r="E432">
        <v>435.31250621103902</v>
      </c>
      <c r="F432">
        <v>13</v>
      </c>
      <c r="G432">
        <v>121.945821110849</v>
      </c>
    </row>
    <row r="433" spans="1:7" x14ac:dyDescent="0.45">
      <c r="A433" s="1">
        <v>45071</v>
      </c>
      <c r="B433" t="s">
        <v>12</v>
      </c>
      <c r="C433" t="s">
        <v>19</v>
      </c>
      <c r="D433" t="s">
        <v>17</v>
      </c>
      <c r="E433">
        <v>743.21988740542599</v>
      </c>
      <c r="F433">
        <v>8</v>
      </c>
      <c r="G433">
        <v>39.391216514803098</v>
      </c>
    </row>
    <row r="434" spans="1:7" x14ac:dyDescent="0.45">
      <c r="A434" s="1">
        <v>45046</v>
      </c>
      <c r="B434" t="s">
        <v>14</v>
      </c>
      <c r="C434" t="s">
        <v>19</v>
      </c>
      <c r="D434" t="s">
        <v>17</v>
      </c>
      <c r="E434">
        <v>864.34267499709199</v>
      </c>
      <c r="F434">
        <v>14</v>
      </c>
      <c r="G434">
        <v>162.67250586399999</v>
      </c>
    </row>
    <row r="435" spans="1:7" x14ac:dyDescent="0.45">
      <c r="A435" s="1">
        <v>45245</v>
      </c>
      <c r="B435" t="s">
        <v>13</v>
      </c>
      <c r="C435" t="s">
        <v>19</v>
      </c>
      <c r="D435" t="s">
        <v>20</v>
      </c>
      <c r="E435">
        <v>536.57018821743895</v>
      </c>
      <c r="F435">
        <v>15</v>
      </c>
      <c r="G435">
        <v>126.183008685552</v>
      </c>
    </row>
    <row r="436" spans="1:7" x14ac:dyDescent="0.45">
      <c r="A436" s="1">
        <v>45201</v>
      </c>
      <c r="B436" t="s">
        <v>18</v>
      </c>
      <c r="C436" t="s">
        <v>8</v>
      </c>
      <c r="D436" t="s">
        <v>17</v>
      </c>
      <c r="E436">
        <v>791.53787225323902</v>
      </c>
      <c r="F436">
        <v>11</v>
      </c>
      <c r="G436">
        <v>135.554420074993</v>
      </c>
    </row>
    <row r="437" spans="1:7" x14ac:dyDescent="0.45">
      <c r="A437" s="1">
        <v>45018</v>
      </c>
      <c r="B437" t="s">
        <v>13</v>
      </c>
      <c r="C437" t="s">
        <v>16</v>
      </c>
      <c r="D437" t="s">
        <v>11</v>
      </c>
      <c r="E437">
        <v>303.81881519965202</v>
      </c>
      <c r="F437">
        <v>1</v>
      </c>
      <c r="G437">
        <v>21.6777026196071</v>
      </c>
    </row>
    <row r="438" spans="1:7" x14ac:dyDescent="0.45">
      <c r="A438" s="1">
        <v>44984</v>
      </c>
      <c r="B438" t="s">
        <v>7</v>
      </c>
      <c r="C438" t="s">
        <v>16</v>
      </c>
      <c r="D438" t="s">
        <v>17</v>
      </c>
      <c r="E438">
        <v>545.95591405569598</v>
      </c>
      <c r="F438">
        <v>3</v>
      </c>
      <c r="G438">
        <v>160.02805747192301</v>
      </c>
    </row>
    <row r="439" spans="1:7" x14ac:dyDescent="0.45">
      <c r="A439" s="1">
        <v>45272</v>
      </c>
      <c r="B439" t="s">
        <v>13</v>
      </c>
      <c r="C439" t="s">
        <v>15</v>
      </c>
      <c r="D439" t="s">
        <v>20</v>
      </c>
      <c r="E439">
        <v>351.77765413327199</v>
      </c>
      <c r="F439">
        <v>17</v>
      </c>
      <c r="G439">
        <v>63.145006298175701</v>
      </c>
    </row>
    <row r="440" spans="1:7" x14ac:dyDescent="0.45">
      <c r="A440" s="1">
        <v>45155</v>
      </c>
      <c r="B440" t="s">
        <v>13</v>
      </c>
      <c r="C440" t="s">
        <v>19</v>
      </c>
      <c r="D440" t="s">
        <v>17</v>
      </c>
      <c r="E440">
        <v>420.058916316112</v>
      </c>
      <c r="F440">
        <v>19</v>
      </c>
      <c r="G440">
        <v>85.501547867032201</v>
      </c>
    </row>
    <row r="441" spans="1:7" x14ac:dyDescent="0.45">
      <c r="A441" s="1">
        <v>45043</v>
      </c>
      <c r="B441" t="s">
        <v>7</v>
      </c>
      <c r="C441" t="s">
        <v>8</v>
      </c>
      <c r="D441" t="s">
        <v>11</v>
      </c>
      <c r="E441">
        <v>735.08972616454105</v>
      </c>
      <c r="F441">
        <v>14</v>
      </c>
      <c r="G441">
        <v>80.236841402805396</v>
      </c>
    </row>
    <row r="442" spans="1:7" x14ac:dyDescent="0.45">
      <c r="A442" s="1">
        <v>45244</v>
      </c>
      <c r="B442" t="s">
        <v>14</v>
      </c>
      <c r="C442" t="s">
        <v>8</v>
      </c>
      <c r="D442" t="s">
        <v>20</v>
      </c>
      <c r="E442">
        <v>882.84585750938504</v>
      </c>
      <c r="F442">
        <v>8</v>
      </c>
      <c r="G442">
        <v>150.855863263034</v>
      </c>
    </row>
    <row r="443" spans="1:7" x14ac:dyDescent="0.45">
      <c r="A443" s="1">
        <v>45205</v>
      </c>
      <c r="B443" t="s">
        <v>14</v>
      </c>
      <c r="C443" t="s">
        <v>16</v>
      </c>
      <c r="D443" t="s">
        <v>20</v>
      </c>
      <c r="E443">
        <v>130.28043717688701</v>
      </c>
      <c r="F443">
        <v>13</v>
      </c>
      <c r="G443">
        <v>20.491467715486699</v>
      </c>
    </row>
    <row r="444" spans="1:7" x14ac:dyDescent="0.45">
      <c r="A444" s="1">
        <v>45053</v>
      </c>
      <c r="B444" t="s">
        <v>13</v>
      </c>
      <c r="C444" t="s">
        <v>19</v>
      </c>
      <c r="D444" t="s">
        <v>11</v>
      </c>
      <c r="E444">
        <v>638.29286392250594</v>
      </c>
      <c r="F444">
        <v>3</v>
      </c>
      <c r="G444">
        <v>43.866013567958703</v>
      </c>
    </row>
    <row r="445" spans="1:7" x14ac:dyDescent="0.45">
      <c r="A445" s="1">
        <v>45055</v>
      </c>
      <c r="B445" t="s">
        <v>7</v>
      </c>
      <c r="C445" t="s">
        <v>15</v>
      </c>
      <c r="D445" t="s">
        <v>11</v>
      </c>
      <c r="E445">
        <v>586.32236950202002</v>
      </c>
      <c r="F445">
        <v>5</v>
      </c>
      <c r="G445">
        <v>44.877165984881799</v>
      </c>
    </row>
    <row r="446" spans="1:7" x14ac:dyDescent="0.45">
      <c r="A446" s="1">
        <v>44984</v>
      </c>
      <c r="B446" t="s">
        <v>7</v>
      </c>
      <c r="C446" t="s">
        <v>19</v>
      </c>
      <c r="D446" t="s">
        <v>11</v>
      </c>
      <c r="E446">
        <v>127.230888784172</v>
      </c>
      <c r="F446">
        <v>9</v>
      </c>
      <c r="G446">
        <v>32.999637690062897</v>
      </c>
    </row>
    <row r="447" spans="1:7" x14ac:dyDescent="0.45">
      <c r="A447" s="1">
        <v>45048</v>
      </c>
      <c r="B447" t="s">
        <v>18</v>
      </c>
      <c r="C447" t="s">
        <v>10</v>
      </c>
      <c r="D447" t="s">
        <v>11</v>
      </c>
      <c r="E447">
        <v>219.775387135708</v>
      </c>
      <c r="F447">
        <v>6</v>
      </c>
      <c r="G447">
        <v>24.165400066552898</v>
      </c>
    </row>
    <row r="448" spans="1:7" x14ac:dyDescent="0.45">
      <c r="A448" s="1">
        <v>44927</v>
      </c>
      <c r="B448" t="s">
        <v>14</v>
      </c>
      <c r="C448" t="s">
        <v>19</v>
      </c>
      <c r="D448" t="s">
        <v>11</v>
      </c>
      <c r="E448">
        <v>317.892469785353</v>
      </c>
      <c r="F448">
        <v>2</v>
      </c>
      <c r="G448">
        <v>31.388565097213402</v>
      </c>
    </row>
    <row r="449" spans="1:7" x14ac:dyDescent="0.45">
      <c r="A449" s="1">
        <v>45165</v>
      </c>
      <c r="B449" t="s">
        <v>12</v>
      </c>
      <c r="C449" t="s">
        <v>10</v>
      </c>
      <c r="D449" t="s">
        <v>20</v>
      </c>
      <c r="E449">
        <v>175.26176010932599</v>
      </c>
      <c r="F449">
        <v>13</v>
      </c>
      <c r="G449">
        <v>30.8860054168297</v>
      </c>
    </row>
    <row r="450" spans="1:7" x14ac:dyDescent="0.45">
      <c r="A450" s="1">
        <v>45216</v>
      </c>
      <c r="B450" t="s">
        <v>14</v>
      </c>
      <c r="C450" t="s">
        <v>10</v>
      </c>
      <c r="D450" t="s">
        <v>20</v>
      </c>
      <c r="E450">
        <v>251.29218769909801</v>
      </c>
      <c r="F450">
        <v>5</v>
      </c>
      <c r="G450">
        <v>60.859646491827903</v>
      </c>
    </row>
    <row r="451" spans="1:7" x14ac:dyDescent="0.45">
      <c r="A451" s="1">
        <v>45022</v>
      </c>
      <c r="B451" t="s">
        <v>14</v>
      </c>
      <c r="C451" t="s">
        <v>15</v>
      </c>
      <c r="D451" t="s">
        <v>17</v>
      </c>
      <c r="E451">
        <v>274.92479087308999</v>
      </c>
      <c r="F451">
        <v>8</v>
      </c>
      <c r="G451">
        <v>18.003897960065501</v>
      </c>
    </row>
    <row r="452" spans="1:7" x14ac:dyDescent="0.45">
      <c r="A452" s="1">
        <v>45052</v>
      </c>
      <c r="B452" t="s">
        <v>18</v>
      </c>
      <c r="C452" t="s">
        <v>16</v>
      </c>
      <c r="D452" t="s">
        <v>17</v>
      </c>
      <c r="E452">
        <v>342.317094708669</v>
      </c>
      <c r="F452">
        <v>1</v>
      </c>
      <c r="G452">
        <v>66.478657549313198</v>
      </c>
    </row>
    <row r="453" spans="1:7" x14ac:dyDescent="0.45">
      <c r="A453" s="1">
        <v>45044</v>
      </c>
      <c r="B453" t="s">
        <v>12</v>
      </c>
      <c r="C453" t="s">
        <v>19</v>
      </c>
      <c r="D453" t="s">
        <v>9</v>
      </c>
      <c r="E453">
        <v>751.896548273147</v>
      </c>
      <c r="F453">
        <v>12</v>
      </c>
      <c r="G453">
        <v>60.003307536142401</v>
      </c>
    </row>
    <row r="454" spans="1:7" x14ac:dyDescent="0.45">
      <c r="A454" s="1">
        <v>44974</v>
      </c>
      <c r="B454" t="s">
        <v>18</v>
      </c>
      <c r="C454" t="s">
        <v>10</v>
      </c>
      <c r="D454" t="s">
        <v>17</v>
      </c>
      <c r="E454">
        <v>576.19308181209396</v>
      </c>
      <c r="F454">
        <v>11</v>
      </c>
      <c r="G454">
        <v>34.061805400934801</v>
      </c>
    </row>
    <row r="455" spans="1:7" x14ac:dyDescent="0.45">
      <c r="A455" s="1">
        <v>45015</v>
      </c>
      <c r="B455" t="s">
        <v>12</v>
      </c>
      <c r="C455" t="s">
        <v>19</v>
      </c>
      <c r="D455" t="s">
        <v>17</v>
      </c>
      <c r="E455">
        <v>986.38420523188699</v>
      </c>
      <c r="F455">
        <v>7</v>
      </c>
      <c r="G455">
        <v>62.325660595173701</v>
      </c>
    </row>
    <row r="456" spans="1:7" x14ac:dyDescent="0.45">
      <c r="A456" s="1">
        <v>45163</v>
      </c>
      <c r="B456" t="s">
        <v>13</v>
      </c>
      <c r="C456" t="s">
        <v>16</v>
      </c>
      <c r="D456" t="s">
        <v>11</v>
      </c>
      <c r="E456">
        <v>420.58846869779597</v>
      </c>
      <c r="F456">
        <v>15</v>
      </c>
      <c r="G456">
        <v>108.739374663402</v>
      </c>
    </row>
    <row r="457" spans="1:7" x14ac:dyDescent="0.45">
      <c r="A457" s="1">
        <v>45198</v>
      </c>
      <c r="B457" t="s">
        <v>12</v>
      </c>
      <c r="C457" t="s">
        <v>16</v>
      </c>
      <c r="D457" t="s">
        <v>11</v>
      </c>
      <c r="E457">
        <v>756.32642309855498</v>
      </c>
      <c r="F457">
        <v>11</v>
      </c>
      <c r="G457">
        <v>60.122747796543898</v>
      </c>
    </row>
    <row r="458" spans="1:7" x14ac:dyDescent="0.45">
      <c r="A458" s="1">
        <v>45115</v>
      </c>
      <c r="B458" t="s">
        <v>18</v>
      </c>
      <c r="C458" t="s">
        <v>8</v>
      </c>
      <c r="D458" t="s">
        <v>17</v>
      </c>
      <c r="E458">
        <v>872.75373716276795</v>
      </c>
      <c r="F458">
        <v>16</v>
      </c>
      <c r="G458">
        <v>53.489192365344799</v>
      </c>
    </row>
    <row r="459" spans="1:7" x14ac:dyDescent="0.45">
      <c r="A459" s="1">
        <v>45118</v>
      </c>
      <c r="B459" t="s">
        <v>14</v>
      </c>
      <c r="C459" t="s">
        <v>16</v>
      </c>
      <c r="D459" t="s">
        <v>9</v>
      </c>
      <c r="E459">
        <v>682.188708107661</v>
      </c>
      <c r="F459">
        <v>3</v>
      </c>
      <c r="G459">
        <v>108.792024978011</v>
      </c>
    </row>
    <row r="460" spans="1:7" x14ac:dyDescent="0.45">
      <c r="A460" s="1">
        <v>44995</v>
      </c>
      <c r="B460" t="s">
        <v>12</v>
      </c>
      <c r="C460" t="s">
        <v>15</v>
      </c>
      <c r="D460" t="s">
        <v>11</v>
      </c>
      <c r="E460">
        <v>417.746093013321</v>
      </c>
      <c r="F460">
        <v>14</v>
      </c>
      <c r="G460">
        <v>109.03104850879799</v>
      </c>
    </row>
    <row r="461" spans="1:7" x14ac:dyDescent="0.45">
      <c r="A461" s="1">
        <v>45204</v>
      </c>
      <c r="B461" t="s">
        <v>12</v>
      </c>
      <c r="C461" t="s">
        <v>10</v>
      </c>
      <c r="D461" t="s">
        <v>17</v>
      </c>
      <c r="E461">
        <v>756.05868443829502</v>
      </c>
      <c r="F461">
        <v>3</v>
      </c>
      <c r="G461">
        <v>87.401967200437397</v>
      </c>
    </row>
    <row r="462" spans="1:7" x14ac:dyDescent="0.45">
      <c r="A462" s="1">
        <v>45275</v>
      </c>
      <c r="B462" t="s">
        <v>7</v>
      </c>
      <c r="C462" t="s">
        <v>8</v>
      </c>
      <c r="D462" t="s">
        <v>17</v>
      </c>
      <c r="E462">
        <v>211.63046639495801</v>
      </c>
      <c r="F462">
        <v>1</v>
      </c>
      <c r="G462">
        <v>32.893332802659899</v>
      </c>
    </row>
    <row r="463" spans="1:7" x14ac:dyDescent="0.45">
      <c r="A463" s="1">
        <v>45173</v>
      </c>
      <c r="B463" t="s">
        <v>14</v>
      </c>
      <c r="C463" t="s">
        <v>15</v>
      </c>
      <c r="D463" t="s">
        <v>20</v>
      </c>
      <c r="E463">
        <v>334.27664352833102</v>
      </c>
      <c r="F463">
        <v>15</v>
      </c>
      <c r="G463">
        <v>20.0501247230568</v>
      </c>
    </row>
    <row r="464" spans="1:7" x14ac:dyDescent="0.45">
      <c r="A464" s="1">
        <v>45002</v>
      </c>
      <c r="B464" t="s">
        <v>13</v>
      </c>
      <c r="C464" t="s">
        <v>19</v>
      </c>
      <c r="D464" t="s">
        <v>9</v>
      </c>
      <c r="E464">
        <v>551.21840254829499</v>
      </c>
      <c r="F464">
        <v>1</v>
      </c>
      <c r="G464">
        <v>89.446005422461894</v>
      </c>
    </row>
    <row r="465" spans="1:7" x14ac:dyDescent="0.45">
      <c r="A465" s="1">
        <v>45080</v>
      </c>
      <c r="B465" t="s">
        <v>18</v>
      </c>
      <c r="C465" t="s">
        <v>10</v>
      </c>
      <c r="D465" t="s">
        <v>20</v>
      </c>
      <c r="E465">
        <v>579.65529341328602</v>
      </c>
      <c r="F465">
        <v>17</v>
      </c>
      <c r="G465">
        <v>112.686884604681</v>
      </c>
    </row>
    <row r="466" spans="1:7" x14ac:dyDescent="0.45">
      <c r="A466" s="1">
        <v>45070</v>
      </c>
      <c r="B466" t="s">
        <v>13</v>
      </c>
      <c r="C466" t="s">
        <v>16</v>
      </c>
      <c r="D466" t="s">
        <v>9</v>
      </c>
      <c r="E466">
        <v>31.920060717903102</v>
      </c>
      <c r="F466">
        <v>2</v>
      </c>
      <c r="G466">
        <v>6.1518499909070696</v>
      </c>
    </row>
    <row r="467" spans="1:7" x14ac:dyDescent="0.45">
      <c r="A467" s="1">
        <v>45012</v>
      </c>
      <c r="B467" t="s">
        <v>14</v>
      </c>
      <c r="C467" t="s">
        <v>10</v>
      </c>
      <c r="D467" t="s">
        <v>11</v>
      </c>
      <c r="E467">
        <v>945.66304686844796</v>
      </c>
      <c r="F467">
        <v>6</v>
      </c>
      <c r="G467">
        <v>125.874061988924</v>
      </c>
    </row>
    <row r="468" spans="1:7" x14ac:dyDescent="0.45">
      <c r="A468" s="1">
        <v>45111</v>
      </c>
      <c r="B468" t="s">
        <v>12</v>
      </c>
      <c r="C468" t="s">
        <v>19</v>
      </c>
      <c r="D468" t="s">
        <v>9</v>
      </c>
      <c r="E468">
        <v>699.66099850521596</v>
      </c>
      <c r="F468">
        <v>8</v>
      </c>
      <c r="G468">
        <v>90.174614986334802</v>
      </c>
    </row>
    <row r="469" spans="1:7" x14ac:dyDescent="0.45">
      <c r="A469" s="1">
        <v>45211</v>
      </c>
      <c r="B469" t="s">
        <v>12</v>
      </c>
      <c r="C469" t="s">
        <v>8</v>
      </c>
      <c r="D469" t="s">
        <v>17</v>
      </c>
      <c r="E469">
        <v>500.74671272957198</v>
      </c>
      <c r="F469">
        <v>16</v>
      </c>
      <c r="G469">
        <v>38.385192306936503</v>
      </c>
    </row>
    <row r="470" spans="1:7" x14ac:dyDescent="0.45">
      <c r="A470" s="1">
        <v>45146</v>
      </c>
      <c r="B470" t="s">
        <v>14</v>
      </c>
      <c r="C470" t="s">
        <v>8</v>
      </c>
      <c r="D470" t="s">
        <v>17</v>
      </c>
      <c r="E470">
        <v>933.79596206422502</v>
      </c>
      <c r="F470">
        <v>19</v>
      </c>
      <c r="G470">
        <v>132.31849578106701</v>
      </c>
    </row>
    <row r="471" spans="1:7" x14ac:dyDescent="0.45">
      <c r="A471" s="1">
        <v>44995</v>
      </c>
      <c r="B471" t="s">
        <v>12</v>
      </c>
      <c r="C471" t="s">
        <v>8</v>
      </c>
      <c r="D471" t="s">
        <v>9</v>
      </c>
      <c r="E471">
        <v>444.70460959832002</v>
      </c>
      <c r="F471">
        <v>1</v>
      </c>
      <c r="G471">
        <v>33.296664949482398</v>
      </c>
    </row>
    <row r="472" spans="1:7" x14ac:dyDescent="0.45">
      <c r="A472" s="1">
        <v>44973</v>
      </c>
      <c r="B472" t="s">
        <v>12</v>
      </c>
      <c r="C472" t="s">
        <v>16</v>
      </c>
      <c r="D472" t="s">
        <v>9</v>
      </c>
      <c r="E472">
        <v>980.63121456766805</v>
      </c>
      <c r="F472">
        <v>3</v>
      </c>
      <c r="G472">
        <v>236.96853881479001</v>
      </c>
    </row>
    <row r="473" spans="1:7" x14ac:dyDescent="0.45">
      <c r="A473" s="1">
        <v>45020</v>
      </c>
      <c r="B473" t="s">
        <v>12</v>
      </c>
      <c r="C473" t="s">
        <v>15</v>
      </c>
      <c r="D473" t="s">
        <v>9</v>
      </c>
      <c r="E473">
        <v>517.16190967105001</v>
      </c>
      <c r="F473">
        <v>3</v>
      </c>
      <c r="G473">
        <v>150.788160755928</v>
      </c>
    </row>
    <row r="474" spans="1:7" x14ac:dyDescent="0.45">
      <c r="A474" s="1">
        <v>45164</v>
      </c>
      <c r="B474" t="s">
        <v>18</v>
      </c>
      <c r="C474" t="s">
        <v>15</v>
      </c>
      <c r="D474" t="s">
        <v>20</v>
      </c>
      <c r="E474">
        <v>123.142912297999</v>
      </c>
      <c r="F474">
        <v>5</v>
      </c>
      <c r="G474">
        <v>36.021594049859402</v>
      </c>
    </row>
    <row r="475" spans="1:7" x14ac:dyDescent="0.45">
      <c r="A475" s="1">
        <v>45130</v>
      </c>
      <c r="B475" t="s">
        <v>18</v>
      </c>
      <c r="C475" t="s">
        <v>10</v>
      </c>
      <c r="D475" t="s">
        <v>9</v>
      </c>
      <c r="E475">
        <v>767.15296273468402</v>
      </c>
      <c r="F475">
        <v>12</v>
      </c>
      <c r="G475">
        <v>204.26811235222999</v>
      </c>
    </row>
    <row r="476" spans="1:7" x14ac:dyDescent="0.45">
      <c r="A476" s="1">
        <v>45144</v>
      </c>
      <c r="B476" t="s">
        <v>7</v>
      </c>
      <c r="C476" t="s">
        <v>16</v>
      </c>
      <c r="D476" t="s">
        <v>11</v>
      </c>
      <c r="E476">
        <v>682.10874782706196</v>
      </c>
      <c r="F476">
        <v>12</v>
      </c>
      <c r="G476">
        <v>136.55683256394701</v>
      </c>
    </row>
    <row r="477" spans="1:7" x14ac:dyDescent="0.45">
      <c r="A477" s="1">
        <v>45267</v>
      </c>
      <c r="B477" t="s">
        <v>13</v>
      </c>
      <c r="C477" t="s">
        <v>8</v>
      </c>
      <c r="D477" t="s">
        <v>20</v>
      </c>
      <c r="E477">
        <v>775.25685409253094</v>
      </c>
      <c r="F477">
        <v>13</v>
      </c>
      <c r="G477">
        <v>174.60057660129101</v>
      </c>
    </row>
    <row r="478" spans="1:7" x14ac:dyDescent="0.45">
      <c r="A478" s="1">
        <v>44965</v>
      </c>
      <c r="B478" t="s">
        <v>14</v>
      </c>
      <c r="C478" t="s">
        <v>8</v>
      </c>
      <c r="D478" t="s">
        <v>20</v>
      </c>
      <c r="E478">
        <v>951.92760843842404</v>
      </c>
      <c r="F478">
        <v>9</v>
      </c>
      <c r="G478">
        <v>115.470199836503</v>
      </c>
    </row>
    <row r="479" spans="1:7" x14ac:dyDescent="0.45">
      <c r="A479" s="1">
        <v>45026</v>
      </c>
      <c r="B479" t="s">
        <v>14</v>
      </c>
      <c r="C479" t="s">
        <v>19</v>
      </c>
      <c r="D479" t="s">
        <v>9</v>
      </c>
      <c r="E479">
        <v>778.72440962450798</v>
      </c>
      <c r="F479">
        <v>7</v>
      </c>
      <c r="G479">
        <v>161.73530124560699</v>
      </c>
    </row>
    <row r="480" spans="1:7" x14ac:dyDescent="0.45">
      <c r="A480" s="1">
        <v>45215</v>
      </c>
      <c r="B480" t="s">
        <v>14</v>
      </c>
      <c r="C480" t="s">
        <v>19</v>
      </c>
      <c r="D480" t="s">
        <v>11</v>
      </c>
      <c r="E480">
        <v>615.22323619448002</v>
      </c>
      <c r="F480">
        <v>4</v>
      </c>
      <c r="G480">
        <v>100.842709403963</v>
      </c>
    </row>
    <row r="481" spans="1:7" x14ac:dyDescent="0.45">
      <c r="A481" s="1">
        <v>45180</v>
      </c>
      <c r="B481" t="s">
        <v>7</v>
      </c>
      <c r="C481" t="s">
        <v>8</v>
      </c>
      <c r="D481" t="s">
        <v>20</v>
      </c>
      <c r="E481">
        <v>858.735813337232</v>
      </c>
      <c r="F481">
        <v>19</v>
      </c>
      <c r="G481">
        <v>146.418178745859</v>
      </c>
    </row>
    <row r="482" spans="1:7" x14ac:dyDescent="0.45">
      <c r="A482" s="1">
        <v>45148</v>
      </c>
      <c r="B482" t="s">
        <v>18</v>
      </c>
      <c r="C482" t="s">
        <v>8</v>
      </c>
      <c r="D482" t="s">
        <v>17</v>
      </c>
      <c r="E482">
        <v>676.51397496098605</v>
      </c>
      <c r="F482">
        <v>19</v>
      </c>
      <c r="G482">
        <v>161.98730699596399</v>
      </c>
    </row>
    <row r="483" spans="1:7" x14ac:dyDescent="0.45">
      <c r="A483" s="1">
        <v>45283</v>
      </c>
      <c r="B483" t="s">
        <v>7</v>
      </c>
      <c r="C483" t="s">
        <v>16</v>
      </c>
      <c r="D483" t="s">
        <v>20</v>
      </c>
      <c r="E483">
        <v>414.03786625766298</v>
      </c>
      <c r="F483">
        <v>6</v>
      </c>
      <c r="G483">
        <v>49.883111915472</v>
      </c>
    </row>
    <row r="484" spans="1:7" x14ac:dyDescent="0.45">
      <c r="A484" s="1">
        <v>44949</v>
      </c>
      <c r="B484" t="s">
        <v>14</v>
      </c>
      <c r="C484" t="s">
        <v>15</v>
      </c>
      <c r="D484" t="s">
        <v>9</v>
      </c>
      <c r="E484">
        <v>886.76356659935504</v>
      </c>
      <c r="F484">
        <v>13</v>
      </c>
      <c r="G484">
        <v>114.84466342649399</v>
      </c>
    </row>
    <row r="485" spans="1:7" x14ac:dyDescent="0.45">
      <c r="A485" s="1">
        <v>45176</v>
      </c>
      <c r="B485" t="s">
        <v>13</v>
      </c>
      <c r="C485" t="s">
        <v>19</v>
      </c>
      <c r="D485" t="s">
        <v>11</v>
      </c>
      <c r="E485">
        <v>229.681456176529</v>
      </c>
      <c r="F485">
        <v>11</v>
      </c>
      <c r="G485">
        <v>64.5773410658513</v>
      </c>
    </row>
    <row r="486" spans="1:7" x14ac:dyDescent="0.45">
      <c r="A486" s="1">
        <v>44936</v>
      </c>
      <c r="B486" t="s">
        <v>12</v>
      </c>
      <c r="C486" t="s">
        <v>15</v>
      </c>
      <c r="D486" t="s">
        <v>9</v>
      </c>
      <c r="E486">
        <v>717.494862159636</v>
      </c>
      <c r="F486">
        <v>13</v>
      </c>
      <c r="G486">
        <v>45.959903779012102</v>
      </c>
    </row>
    <row r="487" spans="1:7" x14ac:dyDescent="0.45">
      <c r="A487" s="1">
        <v>45172</v>
      </c>
      <c r="B487" t="s">
        <v>18</v>
      </c>
      <c r="C487" t="s">
        <v>16</v>
      </c>
      <c r="D487" t="s">
        <v>17</v>
      </c>
      <c r="E487">
        <v>882.74782039134902</v>
      </c>
      <c r="F487">
        <v>13</v>
      </c>
      <c r="G487">
        <v>151.31054562748201</v>
      </c>
    </row>
    <row r="488" spans="1:7" x14ac:dyDescent="0.45">
      <c r="A488" s="1">
        <v>45251</v>
      </c>
      <c r="B488" t="s">
        <v>18</v>
      </c>
      <c r="C488" t="s">
        <v>8</v>
      </c>
      <c r="D488" t="s">
        <v>17</v>
      </c>
      <c r="E488">
        <v>734.00335450626301</v>
      </c>
      <c r="F488">
        <v>15</v>
      </c>
      <c r="G488">
        <v>204.19988009915599</v>
      </c>
    </row>
    <row r="489" spans="1:7" x14ac:dyDescent="0.45">
      <c r="A489" s="1">
        <v>45026</v>
      </c>
      <c r="B489" t="s">
        <v>7</v>
      </c>
      <c r="C489" t="s">
        <v>15</v>
      </c>
      <c r="D489" t="s">
        <v>17</v>
      </c>
      <c r="E489">
        <v>700.302664863318</v>
      </c>
      <c r="F489">
        <v>13</v>
      </c>
      <c r="G489">
        <v>141.87484347042701</v>
      </c>
    </row>
    <row r="490" spans="1:7" x14ac:dyDescent="0.45">
      <c r="A490" s="1">
        <v>45216</v>
      </c>
      <c r="B490" t="s">
        <v>18</v>
      </c>
      <c r="C490" t="s">
        <v>8</v>
      </c>
      <c r="D490" t="s">
        <v>9</v>
      </c>
      <c r="E490">
        <v>755.11191113111704</v>
      </c>
      <c r="F490">
        <v>11</v>
      </c>
      <c r="G490">
        <v>140.90521807252699</v>
      </c>
    </row>
    <row r="491" spans="1:7" x14ac:dyDescent="0.45">
      <c r="A491" s="1">
        <v>45106</v>
      </c>
      <c r="B491" t="s">
        <v>14</v>
      </c>
      <c r="C491" t="s">
        <v>8</v>
      </c>
      <c r="D491" t="s">
        <v>20</v>
      </c>
      <c r="E491">
        <v>470.40469581763699</v>
      </c>
      <c r="F491">
        <v>19</v>
      </c>
      <c r="G491">
        <v>52.890443456534499</v>
      </c>
    </row>
    <row r="492" spans="1:7" x14ac:dyDescent="0.45">
      <c r="A492" s="1">
        <v>45149</v>
      </c>
      <c r="B492" t="s">
        <v>14</v>
      </c>
      <c r="C492" t="s">
        <v>10</v>
      </c>
      <c r="D492" t="s">
        <v>9</v>
      </c>
      <c r="E492">
        <v>875.42897533545499</v>
      </c>
      <c r="F492">
        <v>8</v>
      </c>
      <c r="G492">
        <v>118.899776179139</v>
      </c>
    </row>
    <row r="493" spans="1:7" x14ac:dyDescent="0.45">
      <c r="A493" s="1">
        <v>45176</v>
      </c>
      <c r="B493" t="s">
        <v>7</v>
      </c>
      <c r="C493" t="s">
        <v>15</v>
      </c>
      <c r="D493" t="s">
        <v>11</v>
      </c>
      <c r="E493">
        <v>211.40211038473001</v>
      </c>
      <c r="F493">
        <v>8</v>
      </c>
      <c r="G493">
        <v>55.601313832005999</v>
      </c>
    </row>
    <row r="494" spans="1:7" x14ac:dyDescent="0.45">
      <c r="A494" s="1">
        <v>45073</v>
      </c>
      <c r="B494" t="s">
        <v>14</v>
      </c>
      <c r="C494" t="s">
        <v>15</v>
      </c>
      <c r="D494" t="s">
        <v>20</v>
      </c>
      <c r="E494">
        <v>136.11255184033499</v>
      </c>
      <c r="F494">
        <v>10</v>
      </c>
      <c r="G494">
        <v>25.8347793296143</v>
      </c>
    </row>
    <row r="495" spans="1:7" x14ac:dyDescent="0.45">
      <c r="A495" s="1">
        <v>45022</v>
      </c>
      <c r="B495" t="s">
        <v>13</v>
      </c>
      <c r="C495" t="s">
        <v>8</v>
      </c>
      <c r="D495" t="s">
        <v>17</v>
      </c>
      <c r="E495">
        <v>292.65369231732598</v>
      </c>
      <c r="F495">
        <v>16</v>
      </c>
      <c r="G495">
        <v>52.292985514476896</v>
      </c>
    </row>
    <row r="496" spans="1:7" x14ac:dyDescent="0.45">
      <c r="A496" s="1">
        <v>45183</v>
      </c>
      <c r="B496" t="s">
        <v>7</v>
      </c>
      <c r="C496" t="s">
        <v>16</v>
      </c>
      <c r="D496" t="s">
        <v>9</v>
      </c>
      <c r="E496">
        <v>536.26162280724304</v>
      </c>
      <c r="F496">
        <v>19</v>
      </c>
      <c r="G496">
        <v>40.163275835776197</v>
      </c>
    </row>
    <row r="497" spans="1:7" x14ac:dyDescent="0.45">
      <c r="A497" s="1">
        <v>45251</v>
      </c>
      <c r="B497" t="s">
        <v>13</v>
      </c>
      <c r="C497" t="s">
        <v>10</v>
      </c>
      <c r="D497" t="s">
        <v>17</v>
      </c>
      <c r="E497">
        <v>515.45617745524396</v>
      </c>
      <c r="F497">
        <v>11</v>
      </c>
      <c r="G497">
        <v>27.838261937265301</v>
      </c>
    </row>
    <row r="498" spans="1:7" x14ac:dyDescent="0.45">
      <c r="A498" s="1">
        <v>44930</v>
      </c>
      <c r="B498" t="s">
        <v>12</v>
      </c>
      <c r="C498" t="s">
        <v>8</v>
      </c>
      <c r="D498" t="s">
        <v>17</v>
      </c>
      <c r="E498">
        <v>822.39277009982004</v>
      </c>
      <c r="F498">
        <v>13</v>
      </c>
      <c r="G498">
        <v>239.25157146211799</v>
      </c>
    </row>
    <row r="499" spans="1:7" x14ac:dyDescent="0.45">
      <c r="A499" s="1">
        <v>44942</v>
      </c>
      <c r="B499" t="s">
        <v>13</v>
      </c>
      <c r="C499" t="s">
        <v>19</v>
      </c>
      <c r="D499" t="s">
        <v>11</v>
      </c>
      <c r="E499">
        <v>410.52296983997701</v>
      </c>
      <c r="F499">
        <v>9</v>
      </c>
      <c r="G499">
        <v>59.216518737794999</v>
      </c>
    </row>
    <row r="500" spans="1:7" x14ac:dyDescent="0.45">
      <c r="A500" s="1">
        <v>45206</v>
      </c>
      <c r="B500" t="s">
        <v>12</v>
      </c>
      <c r="C500" t="s">
        <v>19</v>
      </c>
      <c r="D500" t="s">
        <v>20</v>
      </c>
      <c r="E500">
        <v>489.500982028593</v>
      </c>
      <c r="F500">
        <v>19</v>
      </c>
      <c r="G500">
        <v>98.293395668975194</v>
      </c>
    </row>
    <row r="501" spans="1:7" x14ac:dyDescent="0.45">
      <c r="A501" s="1">
        <v>45262</v>
      </c>
      <c r="B501" t="s">
        <v>12</v>
      </c>
      <c r="C501" t="s">
        <v>10</v>
      </c>
      <c r="D501" t="s">
        <v>11</v>
      </c>
      <c r="E501">
        <v>23.234006426801599</v>
      </c>
      <c r="F501">
        <v>16</v>
      </c>
      <c r="G501">
        <v>1.6247254520266701</v>
      </c>
    </row>
    <row r="502" spans="1:7" x14ac:dyDescent="0.45">
      <c r="A502" s="1">
        <v>45173</v>
      </c>
      <c r="B502" t="s">
        <v>13</v>
      </c>
      <c r="C502" t="s">
        <v>16</v>
      </c>
      <c r="D502" t="s">
        <v>11</v>
      </c>
      <c r="E502">
        <v>415.641844078509</v>
      </c>
      <c r="F502">
        <v>7</v>
      </c>
      <c r="G502">
        <v>91.764812562500694</v>
      </c>
    </row>
    <row r="503" spans="1:7" x14ac:dyDescent="0.45">
      <c r="A503" s="1">
        <v>45184</v>
      </c>
      <c r="B503" t="s">
        <v>7</v>
      </c>
      <c r="C503" t="s">
        <v>8</v>
      </c>
      <c r="D503" t="s">
        <v>11</v>
      </c>
      <c r="E503">
        <v>651.29649062083797</v>
      </c>
      <c r="F503">
        <v>19</v>
      </c>
      <c r="G503">
        <v>184.40918069354601</v>
      </c>
    </row>
    <row r="504" spans="1:7" x14ac:dyDescent="0.45">
      <c r="A504" s="1">
        <v>45086</v>
      </c>
      <c r="B504" t="s">
        <v>14</v>
      </c>
      <c r="C504" t="s">
        <v>15</v>
      </c>
      <c r="D504" t="s">
        <v>17</v>
      </c>
      <c r="E504">
        <v>25.353247320326201</v>
      </c>
      <c r="F504">
        <v>12</v>
      </c>
      <c r="G504">
        <v>4.91640824925675</v>
      </c>
    </row>
    <row r="505" spans="1:7" x14ac:dyDescent="0.45">
      <c r="A505" s="1">
        <v>45266</v>
      </c>
      <c r="B505" t="s">
        <v>14</v>
      </c>
      <c r="C505" t="s">
        <v>10</v>
      </c>
      <c r="D505" t="s">
        <v>11</v>
      </c>
      <c r="E505">
        <v>288.07314553438101</v>
      </c>
      <c r="F505">
        <v>15</v>
      </c>
      <c r="G505">
        <v>23.486266680910798</v>
      </c>
    </row>
    <row r="506" spans="1:7" x14ac:dyDescent="0.45">
      <c r="A506" s="1">
        <v>45078</v>
      </c>
      <c r="B506" t="s">
        <v>12</v>
      </c>
      <c r="C506" t="s">
        <v>16</v>
      </c>
      <c r="D506" t="s">
        <v>11</v>
      </c>
      <c r="E506">
        <v>215.876795696496</v>
      </c>
      <c r="F506">
        <v>14</v>
      </c>
      <c r="G506">
        <v>42.188884619486103</v>
      </c>
    </row>
    <row r="507" spans="1:7" x14ac:dyDescent="0.45">
      <c r="A507" s="1">
        <v>45104</v>
      </c>
      <c r="B507" t="s">
        <v>12</v>
      </c>
      <c r="C507" t="s">
        <v>15</v>
      </c>
      <c r="D507" t="s">
        <v>20</v>
      </c>
      <c r="E507">
        <v>51.565574620492299</v>
      </c>
      <c r="F507">
        <v>11</v>
      </c>
      <c r="G507">
        <v>12.4575623316631</v>
      </c>
    </row>
    <row r="508" spans="1:7" x14ac:dyDescent="0.45">
      <c r="A508" s="1">
        <v>45089</v>
      </c>
      <c r="B508" t="s">
        <v>7</v>
      </c>
      <c r="C508" t="s">
        <v>19</v>
      </c>
      <c r="D508" t="s">
        <v>20</v>
      </c>
      <c r="E508">
        <v>484.467489015392</v>
      </c>
      <c r="F508">
        <v>10</v>
      </c>
      <c r="G508">
        <v>73.447274192856298</v>
      </c>
    </row>
    <row r="509" spans="1:7" x14ac:dyDescent="0.45">
      <c r="A509" s="1">
        <v>44959</v>
      </c>
      <c r="B509" t="s">
        <v>18</v>
      </c>
      <c r="C509" t="s">
        <v>19</v>
      </c>
      <c r="D509" t="s">
        <v>11</v>
      </c>
      <c r="E509">
        <v>189.906060295874</v>
      </c>
      <c r="F509">
        <v>11</v>
      </c>
      <c r="G509">
        <v>51.266933117583498</v>
      </c>
    </row>
    <row r="510" spans="1:7" x14ac:dyDescent="0.45">
      <c r="A510" s="1">
        <v>45105</v>
      </c>
      <c r="B510" t="s">
        <v>13</v>
      </c>
      <c r="C510" t="s">
        <v>15</v>
      </c>
      <c r="D510" t="s">
        <v>20</v>
      </c>
      <c r="E510">
        <v>745.65072423506604</v>
      </c>
      <c r="F510">
        <v>6</v>
      </c>
      <c r="G510">
        <v>158.205264704218</v>
      </c>
    </row>
    <row r="511" spans="1:7" x14ac:dyDescent="0.45">
      <c r="A511" s="1">
        <v>45027</v>
      </c>
      <c r="B511" t="s">
        <v>12</v>
      </c>
      <c r="C511" t="s">
        <v>10</v>
      </c>
      <c r="D511" t="s">
        <v>20</v>
      </c>
      <c r="E511">
        <v>849.44860492571502</v>
      </c>
      <c r="F511">
        <v>2</v>
      </c>
      <c r="G511">
        <v>233.438865026716</v>
      </c>
    </row>
    <row r="512" spans="1:7" x14ac:dyDescent="0.45">
      <c r="A512" s="1">
        <v>45194</v>
      </c>
      <c r="B512" t="s">
        <v>14</v>
      </c>
      <c r="C512" t="s">
        <v>19</v>
      </c>
      <c r="D512" t="s">
        <v>11</v>
      </c>
      <c r="E512">
        <v>550.12933084245606</v>
      </c>
      <c r="F512">
        <v>11</v>
      </c>
      <c r="G512">
        <v>113.258606455426</v>
      </c>
    </row>
    <row r="513" spans="1:7" x14ac:dyDescent="0.45">
      <c r="A513" s="1">
        <v>45249</v>
      </c>
      <c r="B513" t="s">
        <v>7</v>
      </c>
      <c r="C513" t="s">
        <v>8</v>
      </c>
      <c r="D513" t="s">
        <v>17</v>
      </c>
      <c r="E513">
        <v>981.89026909592997</v>
      </c>
      <c r="F513">
        <v>19</v>
      </c>
      <c r="G513">
        <v>81.322108995015398</v>
      </c>
    </row>
    <row r="514" spans="1:7" x14ac:dyDescent="0.45">
      <c r="A514" s="1">
        <v>44991</v>
      </c>
      <c r="B514" t="s">
        <v>13</v>
      </c>
      <c r="C514" t="s">
        <v>15</v>
      </c>
      <c r="D514" t="s">
        <v>11</v>
      </c>
      <c r="E514">
        <v>455.97378575588903</v>
      </c>
      <c r="F514">
        <v>6</v>
      </c>
      <c r="G514">
        <v>58.101514770257502</v>
      </c>
    </row>
    <row r="515" spans="1:7" x14ac:dyDescent="0.45">
      <c r="A515" s="1">
        <v>45094</v>
      </c>
      <c r="B515" t="s">
        <v>7</v>
      </c>
      <c r="C515" t="s">
        <v>15</v>
      </c>
      <c r="D515" t="s">
        <v>20</v>
      </c>
      <c r="E515">
        <v>518.23452812266601</v>
      </c>
      <c r="F515">
        <v>14</v>
      </c>
      <c r="G515">
        <v>52.056003852420702</v>
      </c>
    </row>
    <row r="516" spans="1:7" x14ac:dyDescent="0.45">
      <c r="A516" s="1">
        <v>45256</v>
      </c>
      <c r="B516" t="s">
        <v>13</v>
      </c>
      <c r="C516" t="s">
        <v>19</v>
      </c>
      <c r="D516" t="s">
        <v>17</v>
      </c>
      <c r="E516">
        <v>989.32557641817198</v>
      </c>
      <c r="F516">
        <v>6</v>
      </c>
      <c r="G516">
        <v>274.247603500369</v>
      </c>
    </row>
    <row r="517" spans="1:7" x14ac:dyDescent="0.45">
      <c r="A517" s="1">
        <v>44969</v>
      </c>
      <c r="B517" t="s">
        <v>13</v>
      </c>
      <c r="C517" t="s">
        <v>10</v>
      </c>
      <c r="D517" t="s">
        <v>9</v>
      </c>
      <c r="E517">
        <v>239.232951605398</v>
      </c>
      <c r="F517">
        <v>17</v>
      </c>
      <c r="G517">
        <v>57.439835704801901</v>
      </c>
    </row>
    <row r="518" spans="1:7" x14ac:dyDescent="0.45">
      <c r="A518" s="1">
        <v>44970</v>
      </c>
      <c r="B518" t="s">
        <v>12</v>
      </c>
      <c r="C518" t="s">
        <v>8</v>
      </c>
      <c r="D518" t="s">
        <v>17</v>
      </c>
      <c r="E518">
        <v>943.12048028013601</v>
      </c>
      <c r="F518">
        <v>10</v>
      </c>
      <c r="G518">
        <v>206.637312650783</v>
      </c>
    </row>
    <row r="519" spans="1:7" x14ac:dyDescent="0.45">
      <c r="A519" s="1">
        <v>45211</v>
      </c>
      <c r="B519" t="s">
        <v>7</v>
      </c>
      <c r="C519" t="s">
        <v>10</v>
      </c>
      <c r="D519" t="s">
        <v>20</v>
      </c>
      <c r="E519">
        <v>52.409179567922102</v>
      </c>
      <c r="F519">
        <v>1</v>
      </c>
      <c r="G519">
        <v>6.5638084507636796</v>
      </c>
    </row>
    <row r="520" spans="1:7" x14ac:dyDescent="0.45">
      <c r="A520" s="1">
        <v>44938</v>
      </c>
      <c r="B520" t="s">
        <v>7</v>
      </c>
      <c r="C520" t="s">
        <v>16</v>
      </c>
      <c r="D520" t="s">
        <v>17</v>
      </c>
      <c r="E520">
        <v>451.92302136056202</v>
      </c>
      <c r="F520">
        <v>3</v>
      </c>
      <c r="G520">
        <v>43.389668430665203</v>
      </c>
    </row>
    <row r="521" spans="1:7" x14ac:dyDescent="0.45">
      <c r="A521" s="1">
        <v>45021</v>
      </c>
      <c r="B521" t="s">
        <v>14</v>
      </c>
      <c r="C521" t="s">
        <v>16</v>
      </c>
      <c r="D521" t="s">
        <v>11</v>
      </c>
      <c r="E521">
        <v>79.303477011735097</v>
      </c>
      <c r="F521">
        <v>8</v>
      </c>
      <c r="G521">
        <v>18.9624742172944</v>
      </c>
    </row>
    <row r="522" spans="1:7" x14ac:dyDescent="0.45">
      <c r="A522" s="1">
        <v>45228</v>
      </c>
      <c r="B522" t="s">
        <v>14</v>
      </c>
      <c r="C522" t="s">
        <v>19</v>
      </c>
      <c r="D522" t="s">
        <v>9</v>
      </c>
      <c r="E522">
        <v>731.94239548450605</v>
      </c>
      <c r="F522">
        <v>8</v>
      </c>
      <c r="G522">
        <v>123.361195460411</v>
      </c>
    </row>
    <row r="523" spans="1:7" x14ac:dyDescent="0.45">
      <c r="A523" s="1">
        <v>45179</v>
      </c>
      <c r="B523" t="s">
        <v>12</v>
      </c>
      <c r="C523" t="s">
        <v>19</v>
      </c>
      <c r="D523" t="s">
        <v>9</v>
      </c>
      <c r="E523">
        <v>612.32484652121695</v>
      </c>
      <c r="F523">
        <v>15</v>
      </c>
      <c r="G523">
        <v>65.180380542742995</v>
      </c>
    </row>
    <row r="524" spans="1:7" x14ac:dyDescent="0.45">
      <c r="A524" s="1">
        <v>45168</v>
      </c>
      <c r="B524" t="s">
        <v>12</v>
      </c>
      <c r="C524" t="s">
        <v>19</v>
      </c>
      <c r="D524" t="s">
        <v>9</v>
      </c>
      <c r="E524">
        <v>709.56792083291998</v>
      </c>
      <c r="F524">
        <v>7</v>
      </c>
      <c r="G524">
        <v>144.86218978829999</v>
      </c>
    </row>
    <row r="525" spans="1:7" x14ac:dyDescent="0.45">
      <c r="A525" s="1">
        <v>44961</v>
      </c>
      <c r="B525" t="s">
        <v>18</v>
      </c>
      <c r="C525" t="s">
        <v>16</v>
      </c>
      <c r="D525" t="s">
        <v>20</v>
      </c>
      <c r="E525">
        <v>380.73559596833599</v>
      </c>
      <c r="F525">
        <v>11</v>
      </c>
      <c r="G525">
        <v>22.875913106324901</v>
      </c>
    </row>
    <row r="526" spans="1:7" x14ac:dyDescent="0.45">
      <c r="A526" s="1">
        <v>45141</v>
      </c>
      <c r="B526" t="s">
        <v>14</v>
      </c>
      <c r="C526" t="s">
        <v>10</v>
      </c>
      <c r="D526" t="s">
        <v>20</v>
      </c>
      <c r="E526">
        <v>375.78711469106599</v>
      </c>
      <c r="F526">
        <v>7</v>
      </c>
      <c r="G526">
        <v>49.432000408780397</v>
      </c>
    </row>
    <row r="527" spans="1:7" x14ac:dyDescent="0.45">
      <c r="A527" s="1">
        <v>45263</v>
      </c>
      <c r="B527" t="s">
        <v>13</v>
      </c>
      <c r="C527" t="s">
        <v>10</v>
      </c>
      <c r="D527" t="s">
        <v>9</v>
      </c>
      <c r="E527">
        <v>54.866086171285602</v>
      </c>
      <c r="F527">
        <v>4</v>
      </c>
      <c r="G527">
        <v>9.1702764189132395</v>
      </c>
    </row>
    <row r="528" spans="1:7" x14ac:dyDescent="0.45">
      <c r="A528" s="1">
        <v>45016</v>
      </c>
      <c r="B528" t="s">
        <v>7</v>
      </c>
      <c r="C528" t="s">
        <v>19</v>
      </c>
      <c r="D528" t="s">
        <v>17</v>
      </c>
      <c r="E528">
        <v>356.445490134343</v>
      </c>
      <c r="F528">
        <v>12</v>
      </c>
      <c r="G528">
        <v>31.007044736989101</v>
      </c>
    </row>
    <row r="529" spans="1:7" x14ac:dyDescent="0.45">
      <c r="A529" s="1">
        <v>45190</v>
      </c>
      <c r="B529" t="s">
        <v>12</v>
      </c>
      <c r="C529" t="s">
        <v>8</v>
      </c>
      <c r="D529" t="s">
        <v>9</v>
      </c>
      <c r="E529">
        <v>929.99551823943796</v>
      </c>
      <c r="F529">
        <v>6</v>
      </c>
      <c r="G529">
        <v>275.43083870544098</v>
      </c>
    </row>
    <row r="530" spans="1:7" x14ac:dyDescent="0.45">
      <c r="A530" s="1">
        <v>45019</v>
      </c>
      <c r="B530" t="s">
        <v>7</v>
      </c>
      <c r="C530" t="s">
        <v>10</v>
      </c>
      <c r="D530" t="s">
        <v>17</v>
      </c>
      <c r="E530">
        <v>385.43427180864398</v>
      </c>
      <c r="F530">
        <v>14</v>
      </c>
      <c r="G530">
        <v>39.420036204858299</v>
      </c>
    </row>
    <row r="531" spans="1:7" x14ac:dyDescent="0.45">
      <c r="A531" s="1">
        <v>45016</v>
      </c>
      <c r="B531" t="s">
        <v>7</v>
      </c>
      <c r="C531" t="s">
        <v>16</v>
      </c>
      <c r="D531" t="s">
        <v>17</v>
      </c>
      <c r="E531">
        <v>833.05402915975003</v>
      </c>
      <c r="F531">
        <v>12</v>
      </c>
      <c r="G531">
        <v>68.800501507019305</v>
      </c>
    </row>
    <row r="532" spans="1:7" x14ac:dyDescent="0.45">
      <c r="A532" s="1">
        <v>45041</v>
      </c>
      <c r="B532" t="s">
        <v>18</v>
      </c>
      <c r="C532" t="s">
        <v>15</v>
      </c>
      <c r="D532" t="s">
        <v>20</v>
      </c>
      <c r="E532">
        <v>843.90224970243401</v>
      </c>
      <c r="F532">
        <v>11</v>
      </c>
      <c r="G532">
        <v>85.135996976634999</v>
      </c>
    </row>
    <row r="533" spans="1:7" x14ac:dyDescent="0.45">
      <c r="A533" s="1">
        <v>45031</v>
      </c>
      <c r="B533" t="s">
        <v>14</v>
      </c>
      <c r="C533" t="s">
        <v>15</v>
      </c>
      <c r="D533" t="s">
        <v>17</v>
      </c>
      <c r="E533">
        <v>379.50874481544099</v>
      </c>
      <c r="F533">
        <v>19</v>
      </c>
      <c r="G533">
        <v>91.941793573719096</v>
      </c>
    </row>
    <row r="534" spans="1:7" x14ac:dyDescent="0.45">
      <c r="A534" s="1">
        <v>45122</v>
      </c>
      <c r="B534" t="s">
        <v>12</v>
      </c>
      <c r="C534" t="s">
        <v>15</v>
      </c>
      <c r="D534" t="s">
        <v>9</v>
      </c>
      <c r="E534">
        <v>635.66879359222696</v>
      </c>
      <c r="F534">
        <v>5</v>
      </c>
      <c r="G534">
        <v>99.403606953610705</v>
      </c>
    </row>
    <row r="535" spans="1:7" x14ac:dyDescent="0.45">
      <c r="A535" s="1">
        <v>45240</v>
      </c>
      <c r="B535" t="s">
        <v>7</v>
      </c>
      <c r="C535" t="s">
        <v>8</v>
      </c>
      <c r="D535" t="s">
        <v>20</v>
      </c>
      <c r="E535">
        <v>104.417886250328</v>
      </c>
      <c r="F535">
        <v>14</v>
      </c>
      <c r="G535">
        <v>19.980778632817099</v>
      </c>
    </row>
    <row r="536" spans="1:7" x14ac:dyDescent="0.45">
      <c r="A536" s="1">
        <v>45040</v>
      </c>
      <c r="B536" t="s">
        <v>12</v>
      </c>
      <c r="C536" t="s">
        <v>19</v>
      </c>
      <c r="D536" t="s">
        <v>11</v>
      </c>
      <c r="E536">
        <v>112.641794926933</v>
      </c>
      <c r="F536">
        <v>16</v>
      </c>
      <c r="G536">
        <v>6.2237170345580299</v>
      </c>
    </row>
    <row r="537" spans="1:7" x14ac:dyDescent="0.45">
      <c r="A537" s="1">
        <v>45001</v>
      </c>
      <c r="B537" t="s">
        <v>13</v>
      </c>
      <c r="C537" t="s">
        <v>16</v>
      </c>
      <c r="D537" t="s">
        <v>11</v>
      </c>
      <c r="E537">
        <v>58.171087025096099</v>
      </c>
      <c r="F537">
        <v>13</v>
      </c>
      <c r="G537">
        <v>3.40928101310636</v>
      </c>
    </row>
    <row r="538" spans="1:7" x14ac:dyDescent="0.45">
      <c r="A538" s="1">
        <v>45143</v>
      </c>
      <c r="B538" t="s">
        <v>18</v>
      </c>
      <c r="C538" t="s">
        <v>8</v>
      </c>
      <c r="D538" t="s">
        <v>20</v>
      </c>
      <c r="E538">
        <v>585.20494244135796</v>
      </c>
      <c r="F538">
        <v>4</v>
      </c>
      <c r="G538">
        <v>94.485075928419405</v>
      </c>
    </row>
    <row r="539" spans="1:7" x14ac:dyDescent="0.45">
      <c r="A539" s="1">
        <v>45203</v>
      </c>
      <c r="B539" t="s">
        <v>13</v>
      </c>
      <c r="C539" t="s">
        <v>16</v>
      </c>
      <c r="D539" t="s">
        <v>9</v>
      </c>
      <c r="E539">
        <v>431.81026784983601</v>
      </c>
      <c r="F539">
        <v>11</v>
      </c>
      <c r="G539">
        <v>109.750543219458</v>
      </c>
    </row>
    <row r="540" spans="1:7" x14ac:dyDescent="0.45">
      <c r="A540" s="1">
        <v>45175</v>
      </c>
      <c r="B540" t="s">
        <v>12</v>
      </c>
      <c r="C540" t="s">
        <v>16</v>
      </c>
      <c r="D540" t="s">
        <v>11</v>
      </c>
      <c r="E540">
        <v>552.55203309759702</v>
      </c>
      <c r="F540">
        <v>17</v>
      </c>
      <c r="G540">
        <v>149.91273720660499</v>
      </c>
    </row>
    <row r="541" spans="1:7" x14ac:dyDescent="0.45">
      <c r="A541" s="1">
        <v>45090</v>
      </c>
      <c r="B541" t="s">
        <v>12</v>
      </c>
      <c r="C541" t="s">
        <v>19</v>
      </c>
      <c r="D541" t="s">
        <v>11</v>
      </c>
      <c r="E541">
        <v>525.86245860330303</v>
      </c>
      <c r="F541">
        <v>7</v>
      </c>
      <c r="G541">
        <v>37.692055133389402</v>
      </c>
    </row>
    <row r="542" spans="1:7" x14ac:dyDescent="0.45">
      <c r="A542" s="1">
        <v>45283</v>
      </c>
      <c r="B542" t="s">
        <v>14</v>
      </c>
      <c r="C542" t="s">
        <v>15</v>
      </c>
      <c r="D542" t="s">
        <v>17</v>
      </c>
      <c r="E542">
        <v>356.700961179822</v>
      </c>
      <c r="F542">
        <v>14</v>
      </c>
      <c r="G542">
        <v>65.8437070547876</v>
      </c>
    </row>
    <row r="543" spans="1:7" x14ac:dyDescent="0.45">
      <c r="A543" s="1">
        <v>45118</v>
      </c>
      <c r="B543" t="s">
        <v>7</v>
      </c>
      <c r="C543" t="s">
        <v>19</v>
      </c>
      <c r="D543" t="s">
        <v>17</v>
      </c>
      <c r="E543">
        <v>680.69868067523805</v>
      </c>
      <c r="F543">
        <v>11</v>
      </c>
      <c r="G543">
        <v>189.44349468470199</v>
      </c>
    </row>
    <row r="544" spans="1:7" x14ac:dyDescent="0.45">
      <c r="A544" s="1">
        <v>45153</v>
      </c>
      <c r="B544" t="s">
        <v>7</v>
      </c>
      <c r="C544" t="s">
        <v>8</v>
      </c>
      <c r="D544" t="s">
        <v>9</v>
      </c>
      <c r="E544">
        <v>760.91686210722605</v>
      </c>
      <c r="F544">
        <v>9</v>
      </c>
      <c r="G544">
        <v>111.849595820245</v>
      </c>
    </row>
    <row r="545" spans="1:7" x14ac:dyDescent="0.45">
      <c r="A545" s="1">
        <v>45103</v>
      </c>
      <c r="B545" t="s">
        <v>13</v>
      </c>
      <c r="C545" t="s">
        <v>8</v>
      </c>
      <c r="D545" t="s">
        <v>20</v>
      </c>
      <c r="E545">
        <v>24.481976288898899</v>
      </c>
      <c r="F545">
        <v>13</v>
      </c>
      <c r="G545">
        <v>6.3014515682224603</v>
      </c>
    </row>
    <row r="546" spans="1:7" x14ac:dyDescent="0.45">
      <c r="A546" s="1">
        <v>45025</v>
      </c>
      <c r="B546" t="s">
        <v>18</v>
      </c>
      <c r="C546" t="s">
        <v>8</v>
      </c>
      <c r="D546" t="s">
        <v>9</v>
      </c>
      <c r="E546">
        <v>215.169876771189</v>
      </c>
      <c r="F546">
        <v>18</v>
      </c>
      <c r="G546">
        <v>17.950313209051998</v>
      </c>
    </row>
    <row r="547" spans="1:7" x14ac:dyDescent="0.45">
      <c r="A547" s="1">
        <v>44962</v>
      </c>
      <c r="B547" t="s">
        <v>7</v>
      </c>
      <c r="C547" t="s">
        <v>19</v>
      </c>
      <c r="D547" t="s">
        <v>20</v>
      </c>
      <c r="E547">
        <v>716.10350940250305</v>
      </c>
      <c r="F547">
        <v>11</v>
      </c>
      <c r="G547">
        <v>203.26499465184301</v>
      </c>
    </row>
    <row r="548" spans="1:7" x14ac:dyDescent="0.45">
      <c r="A548" s="1">
        <v>45022</v>
      </c>
      <c r="B548" t="s">
        <v>14</v>
      </c>
      <c r="C548" t="s">
        <v>16</v>
      </c>
      <c r="D548" t="s">
        <v>11</v>
      </c>
      <c r="E548">
        <v>392.75397090749499</v>
      </c>
      <c r="F548">
        <v>15</v>
      </c>
      <c r="G548">
        <v>93.418821493600603</v>
      </c>
    </row>
    <row r="549" spans="1:7" x14ac:dyDescent="0.45">
      <c r="A549" s="1">
        <v>45078</v>
      </c>
      <c r="B549" t="s">
        <v>13</v>
      </c>
      <c r="C549" t="s">
        <v>16</v>
      </c>
      <c r="D549" t="s">
        <v>17</v>
      </c>
      <c r="E549">
        <v>665.85910747219202</v>
      </c>
      <c r="F549">
        <v>19</v>
      </c>
      <c r="G549">
        <v>189.99197502710001</v>
      </c>
    </row>
    <row r="550" spans="1:7" x14ac:dyDescent="0.45">
      <c r="A550" s="1">
        <v>45077</v>
      </c>
      <c r="B550" t="s">
        <v>13</v>
      </c>
      <c r="C550" t="s">
        <v>10</v>
      </c>
      <c r="D550" t="s">
        <v>9</v>
      </c>
      <c r="E550">
        <v>353.49303313721202</v>
      </c>
      <c r="F550">
        <v>1</v>
      </c>
      <c r="G550">
        <v>77.469521197207001</v>
      </c>
    </row>
    <row r="551" spans="1:7" x14ac:dyDescent="0.45">
      <c r="A551" s="1">
        <v>45116</v>
      </c>
      <c r="B551" t="s">
        <v>14</v>
      </c>
      <c r="C551" t="s">
        <v>8</v>
      </c>
      <c r="D551" t="s">
        <v>9</v>
      </c>
      <c r="E551">
        <v>396.84760080633998</v>
      </c>
      <c r="F551">
        <v>4</v>
      </c>
      <c r="G551">
        <v>55.896374674707801</v>
      </c>
    </row>
    <row r="552" spans="1:7" x14ac:dyDescent="0.45">
      <c r="A552" s="1">
        <v>45150</v>
      </c>
      <c r="B552" t="s">
        <v>18</v>
      </c>
      <c r="C552" t="s">
        <v>16</v>
      </c>
      <c r="D552" t="s">
        <v>20</v>
      </c>
      <c r="E552">
        <v>167.09208495278801</v>
      </c>
      <c r="F552">
        <v>14</v>
      </c>
      <c r="G552">
        <v>47.545266292791197</v>
      </c>
    </row>
    <row r="553" spans="1:7" x14ac:dyDescent="0.45">
      <c r="A553" s="1">
        <v>44963</v>
      </c>
      <c r="B553" t="s">
        <v>14</v>
      </c>
      <c r="C553" t="s">
        <v>10</v>
      </c>
      <c r="D553" t="s">
        <v>20</v>
      </c>
      <c r="E553">
        <v>265.64870946949799</v>
      </c>
      <c r="F553">
        <v>14</v>
      </c>
      <c r="G553">
        <v>31.583425098275701</v>
      </c>
    </row>
    <row r="554" spans="1:7" x14ac:dyDescent="0.45">
      <c r="A554" s="1">
        <v>45194</v>
      </c>
      <c r="B554" t="s">
        <v>18</v>
      </c>
      <c r="C554" t="s">
        <v>16</v>
      </c>
      <c r="D554" t="s">
        <v>9</v>
      </c>
      <c r="E554">
        <v>609.35763993251101</v>
      </c>
      <c r="F554">
        <v>3</v>
      </c>
      <c r="G554">
        <v>81.070848020117396</v>
      </c>
    </row>
    <row r="555" spans="1:7" x14ac:dyDescent="0.45">
      <c r="A555" s="1">
        <v>45109</v>
      </c>
      <c r="B555" t="s">
        <v>14</v>
      </c>
      <c r="C555" t="s">
        <v>8</v>
      </c>
      <c r="D555" t="s">
        <v>20</v>
      </c>
      <c r="E555">
        <v>438.83148020201401</v>
      </c>
      <c r="F555">
        <v>17</v>
      </c>
      <c r="G555">
        <v>98.825772862534706</v>
      </c>
    </row>
    <row r="556" spans="1:7" x14ac:dyDescent="0.45">
      <c r="A556" s="1">
        <v>44939</v>
      </c>
      <c r="B556" t="s">
        <v>14</v>
      </c>
      <c r="C556" t="s">
        <v>15</v>
      </c>
      <c r="D556" t="s">
        <v>9</v>
      </c>
      <c r="E556">
        <v>776.55965611514898</v>
      </c>
      <c r="F556">
        <v>3</v>
      </c>
      <c r="G556">
        <v>187.40642340044499</v>
      </c>
    </row>
    <row r="557" spans="1:7" x14ac:dyDescent="0.45">
      <c r="A557" s="1">
        <v>45205</v>
      </c>
      <c r="B557" t="s">
        <v>12</v>
      </c>
      <c r="C557" t="s">
        <v>8</v>
      </c>
      <c r="D557" t="s">
        <v>9</v>
      </c>
      <c r="E557">
        <v>854.05910538895898</v>
      </c>
      <c r="F557">
        <v>16</v>
      </c>
      <c r="G557">
        <v>241.14433225984499</v>
      </c>
    </row>
    <row r="558" spans="1:7" x14ac:dyDescent="0.45">
      <c r="A558" s="1">
        <v>45143</v>
      </c>
      <c r="B558" t="s">
        <v>13</v>
      </c>
      <c r="C558" t="s">
        <v>19</v>
      </c>
      <c r="D558" t="s">
        <v>9</v>
      </c>
      <c r="E558">
        <v>546.22995403459197</v>
      </c>
      <c r="F558">
        <v>14</v>
      </c>
      <c r="G558">
        <v>55.278800322966298</v>
      </c>
    </row>
    <row r="559" spans="1:7" x14ac:dyDescent="0.45">
      <c r="A559" s="1">
        <v>45281</v>
      </c>
      <c r="B559" t="s">
        <v>14</v>
      </c>
      <c r="C559" t="s">
        <v>16</v>
      </c>
      <c r="D559" t="s">
        <v>11</v>
      </c>
      <c r="E559">
        <v>760.684619135498</v>
      </c>
      <c r="F559">
        <v>13</v>
      </c>
      <c r="G559">
        <v>189.79043882967699</v>
      </c>
    </row>
    <row r="560" spans="1:7" x14ac:dyDescent="0.45">
      <c r="A560" s="1">
        <v>45287</v>
      </c>
      <c r="B560" t="s">
        <v>14</v>
      </c>
      <c r="C560" t="s">
        <v>16</v>
      </c>
      <c r="D560" t="s">
        <v>20</v>
      </c>
      <c r="E560">
        <v>313.83546806262399</v>
      </c>
      <c r="F560">
        <v>15</v>
      </c>
      <c r="G560">
        <v>73.6372599915412</v>
      </c>
    </row>
    <row r="561" spans="1:7" x14ac:dyDescent="0.45">
      <c r="A561" s="1">
        <v>45212</v>
      </c>
      <c r="B561" t="s">
        <v>7</v>
      </c>
      <c r="C561" t="s">
        <v>19</v>
      </c>
      <c r="D561" t="s">
        <v>17</v>
      </c>
      <c r="E561">
        <v>420.82150324607699</v>
      </c>
      <c r="F561">
        <v>14</v>
      </c>
      <c r="G561">
        <v>27.7526054276927</v>
      </c>
    </row>
    <row r="562" spans="1:7" x14ac:dyDescent="0.45">
      <c r="A562" s="1">
        <v>45199</v>
      </c>
      <c r="B562" t="s">
        <v>13</v>
      </c>
      <c r="C562" t="s">
        <v>19</v>
      </c>
      <c r="D562" t="s">
        <v>17</v>
      </c>
      <c r="E562">
        <v>715.64989945466198</v>
      </c>
      <c r="F562">
        <v>19</v>
      </c>
      <c r="G562">
        <v>105.061545491133</v>
      </c>
    </row>
    <row r="563" spans="1:7" x14ac:dyDescent="0.45">
      <c r="A563" s="1">
        <v>44988</v>
      </c>
      <c r="B563" t="s">
        <v>7</v>
      </c>
      <c r="C563" t="s">
        <v>15</v>
      </c>
      <c r="D563" t="s">
        <v>20</v>
      </c>
      <c r="E563">
        <v>392.34987288885998</v>
      </c>
      <c r="F563">
        <v>6</v>
      </c>
      <c r="G563">
        <v>47.353241428165497</v>
      </c>
    </row>
    <row r="564" spans="1:7" x14ac:dyDescent="0.45">
      <c r="A564" s="1">
        <v>45010</v>
      </c>
      <c r="B564" t="s">
        <v>13</v>
      </c>
      <c r="C564" t="s">
        <v>16</v>
      </c>
      <c r="D564" t="s">
        <v>9</v>
      </c>
      <c r="E564">
        <v>592.61988580739899</v>
      </c>
      <c r="F564">
        <v>10</v>
      </c>
      <c r="G564">
        <v>74.742764417902904</v>
      </c>
    </row>
    <row r="565" spans="1:7" x14ac:dyDescent="0.45">
      <c r="A565" s="1">
        <v>45143</v>
      </c>
      <c r="B565" t="s">
        <v>7</v>
      </c>
      <c r="C565" t="s">
        <v>16</v>
      </c>
      <c r="D565" t="s">
        <v>17</v>
      </c>
      <c r="E565">
        <v>193.519051291686</v>
      </c>
      <c r="F565">
        <v>15</v>
      </c>
      <c r="G565">
        <v>57.230689464971597</v>
      </c>
    </row>
    <row r="566" spans="1:7" x14ac:dyDescent="0.45">
      <c r="A566" s="1">
        <v>45268</v>
      </c>
      <c r="B566" t="s">
        <v>14</v>
      </c>
      <c r="C566" t="s">
        <v>15</v>
      </c>
      <c r="D566" t="s">
        <v>17</v>
      </c>
      <c r="E566">
        <v>603.77360182079303</v>
      </c>
      <c r="F566">
        <v>6</v>
      </c>
      <c r="G566">
        <v>127.21168861749599</v>
      </c>
    </row>
    <row r="567" spans="1:7" x14ac:dyDescent="0.45">
      <c r="A567" s="1">
        <v>45113</v>
      </c>
      <c r="B567" t="s">
        <v>14</v>
      </c>
      <c r="C567" t="s">
        <v>10</v>
      </c>
      <c r="D567" t="s">
        <v>20</v>
      </c>
      <c r="E567">
        <v>862.89857015462405</v>
      </c>
      <c r="F567">
        <v>10</v>
      </c>
      <c r="G567">
        <v>197.96536110624999</v>
      </c>
    </row>
    <row r="568" spans="1:7" x14ac:dyDescent="0.45">
      <c r="A568" s="1">
        <v>44945</v>
      </c>
      <c r="B568" t="s">
        <v>12</v>
      </c>
      <c r="C568" t="s">
        <v>15</v>
      </c>
      <c r="D568" t="s">
        <v>17</v>
      </c>
      <c r="E568">
        <v>869.95324342519098</v>
      </c>
      <c r="F568">
        <v>7</v>
      </c>
      <c r="G568">
        <v>255.90058246336901</v>
      </c>
    </row>
    <row r="569" spans="1:7" x14ac:dyDescent="0.45">
      <c r="A569" s="1">
        <v>45103</v>
      </c>
      <c r="B569" t="s">
        <v>7</v>
      </c>
      <c r="C569" t="s">
        <v>8</v>
      </c>
      <c r="D569" t="s">
        <v>9</v>
      </c>
      <c r="E569">
        <v>727.10096226624398</v>
      </c>
      <c r="F569">
        <v>17</v>
      </c>
      <c r="G569">
        <v>104.92099286168499</v>
      </c>
    </row>
    <row r="570" spans="1:7" x14ac:dyDescent="0.45">
      <c r="A570" s="1">
        <v>45026</v>
      </c>
      <c r="B570" t="s">
        <v>18</v>
      </c>
      <c r="C570" t="s">
        <v>16</v>
      </c>
      <c r="D570" t="s">
        <v>20</v>
      </c>
      <c r="E570">
        <v>748.29584528536395</v>
      </c>
      <c r="F570">
        <v>18</v>
      </c>
      <c r="G570">
        <v>187.418208923306</v>
      </c>
    </row>
    <row r="571" spans="1:7" x14ac:dyDescent="0.45">
      <c r="A571" s="1">
        <v>45159</v>
      </c>
      <c r="B571" t="s">
        <v>12</v>
      </c>
      <c r="C571" t="s">
        <v>19</v>
      </c>
      <c r="D571" t="s">
        <v>9</v>
      </c>
      <c r="E571">
        <v>562.34817069919302</v>
      </c>
      <c r="F571">
        <v>17</v>
      </c>
      <c r="G571">
        <v>89.20683161657</v>
      </c>
    </row>
    <row r="572" spans="1:7" x14ac:dyDescent="0.45">
      <c r="A572" s="1">
        <v>45002</v>
      </c>
      <c r="B572" t="s">
        <v>7</v>
      </c>
      <c r="C572" t="s">
        <v>8</v>
      </c>
      <c r="D572" t="s">
        <v>17</v>
      </c>
      <c r="E572">
        <v>588.82140926416605</v>
      </c>
      <c r="F572">
        <v>9</v>
      </c>
      <c r="G572">
        <v>157.44108097339301</v>
      </c>
    </row>
    <row r="573" spans="1:7" x14ac:dyDescent="0.45">
      <c r="A573" s="1">
        <v>45191</v>
      </c>
      <c r="B573" t="s">
        <v>7</v>
      </c>
      <c r="C573" t="s">
        <v>16</v>
      </c>
      <c r="D573" t="s">
        <v>17</v>
      </c>
      <c r="E573">
        <v>142.31407559641201</v>
      </c>
      <c r="F573">
        <v>10</v>
      </c>
      <c r="G573">
        <v>13.543231527630301</v>
      </c>
    </row>
    <row r="574" spans="1:7" x14ac:dyDescent="0.45">
      <c r="A574" s="1">
        <v>45210</v>
      </c>
      <c r="B574" t="s">
        <v>12</v>
      </c>
      <c r="C574" t="s">
        <v>15</v>
      </c>
      <c r="D574" t="s">
        <v>9</v>
      </c>
      <c r="E574">
        <v>449.42059653708799</v>
      </c>
      <c r="F574">
        <v>10</v>
      </c>
      <c r="G574">
        <v>128.94845158339899</v>
      </c>
    </row>
    <row r="575" spans="1:7" x14ac:dyDescent="0.45">
      <c r="A575" s="1">
        <v>45132</v>
      </c>
      <c r="B575" t="s">
        <v>14</v>
      </c>
      <c r="C575" t="s">
        <v>8</v>
      </c>
      <c r="D575" t="s">
        <v>11</v>
      </c>
      <c r="E575">
        <v>456.26852104749997</v>
      </c>
      <c r="F575">
        <v>7</v>
      </c>
      <c r="G575">
        <v>47.768087013291698</v>
      </c>
    </row>
    <row r="576" spans="1:7" x14ac:dyDescent="0.45">
      <c r="A576" s="1">
        <v>45149</v>
      </c>
      <c r="B576" t="s">
        <v>7</v>
      </c>
      <c r="C576" t="s">
        <v>16</v>
      </c>
      <c r="D576" t="s">
        <v>17</v>
      </c>
      <c r="E576">
        <v>958.912857311062</v>
      </c>
      <c r="F576">
        <v>16</v>
      </c>
      <c r="G576">
        <v>126.14990248119</v>
      </c>
    </row>
    <row r="577" spans="1:7" x14ac:dyDescent="0.45">
      <c r="A577" s="1">
        <v>44978</v>
      </c>
      <c r="B577" t="s">
        <v>14</v>
      </c>
      <c r="C577" t="s">
        <v>10</v>
      </c>
      <c r="D577" t="s">
        <v>11</v>
      </c>
      <c r="E577">
        <v>436.77599399705599</v>
      </c>
      <c r="F577">
        <v>18</v>
      </c>
      <c r="G577">
        <v>104.410453376063</v>
      </c>
    </row>
    <row r="578" spans="1:7" x14ac:dyDescent="0.45">
      <c r="A578" s="1">
        <v>45265</v>
      </c>
      <c r="B578" t="s">
        <v>12</v>
      </c>
      <c r="C578" t="s">
        <v>10</v>
      </c>
      <c r="D578" t="s">
        <v>17</v>
      </c>
      <c r="E578">
        <v>553.84921845373003</v>
      </c>
      <c r="F578">
        <v>6</v>
      </c>
      <c r="G578">
        <v>82.212705277221005</v>
      </c>
    </row>
    <row r="579" spans="1:7" x14ac:dyDescent="0.45">
      <c r="A579" s="1">
        <v>45070</v>
      </c>
      <c r="B579" t="s">
        <v>14</v>
      </c>
      <c r="C579" t="s">
        <v>19</v>
      </c>
      <c r="D579" t="s">
        <v>11</v>
      </c>
      <c r="E579">
        <v>537.91888528631102</v>
      </c>
      <c r="F579">
        <v>1</v>
      </c>
      <c r="G579">
        <v>108.68804071648</v>
      </c>
    </row>
    <row r="580" spans="1:7" x14ac:dyDescent="0.45">
      <c r="A580" s="1">
        <v>44995</v>
      </c>
      <c r="B580" t="s">
        <v>13</v>
      </c>
      <c r="C580" t="s">
        <v>16</v>
      </c>
      <c r="D580" t="s">
        <v>11</v>
      </c>
      <c r="E580">
        <v>640.39409987388296</v>
      </c>
      <c r="F580">
        <v>1</v>
      </c>
      <c r="G580">
        <v>103.19526675497799</v>
      </c>
    </row>
    <row r="581" spans="1:7" x14ac:dyDescent="0.45">
      <c r="A581" s="1">
        <v>45025</v>
      </c>
      <c r="B581" t="s">
        <v>18</v>
      </c>
      <c r="C581" t="s">
        <v>10</v>
      </c>
      <c r="D581" t="s">
        <v>11</v>
      </c>
      <c r="E581">
        <v>750.75050301857698</v>
      </c>
      <c r="F581">
        <v>12</v>
      </c>
      <c r="G581">
        <v>176.871176074934</v>
      </c>
    </row>
    <row r="582" spans="1:7" x14ac:dyDescent="0.45">
      <c r="A582" s="1">
        <v>44951</v>
      </c>
      <c r="B582" t="s">
        <v>7</v>
      </c>
      <c r="C582" t="s">
        <v>15</v>
      </c>
      <c r="D582" t="s">
        <v>9</v>
      </c>
      <c r="E582">
        <v>232.791457409163</v>
      </c>
      <c r="F582">
        <v>2</v>
      </c>
      <c r="G582">
        <v>24.927964123195199</v>
      </c>
    </row>
    <row r="583" spans="1:7" x14ac:dyDescent="0.45">
      <c r="A583" s="1">
        <v>44979</v>
      </c>
      <c r="B583" t="s">
        <v>18</v>
      </c>
      <c r="C583" t="s">
        <v>16</v>
      </c>
      <c r="D583" t="s">
        <v>11</v>
      </c>
      <c r="E583">
        <v>533.43717490745098</v>
      </c>
      <c r="F583">
        <v>4</v>
      </c>
      <c r="G583">
        <v>34.467774635976397</v>
      </c>
    </row>
    <row r="584" spans="1:7" x14ac:dyDescent="0.45">
      <c r="A584" s="1">
        <v>45077</v>
      </c>
      <c r="B584" t="s">
        <v>14</v>
      </c>
      <c r="C584" t="s">
        <v>15</v>
      </c>
      <c r="D584" t="s">
        <v>11</v>
      </c>
      <c r="E584">
        <v>827.65853024287003</v>
      </c>
      <c r="F584">
        <v>17</v>
      </c>
      <c r="G584">
        <v>103.44270758444</v>
      </c>
    </row>
    <row r="585" spans="1:7" x14ac:dyDescent="0.45">
      <c r="A585" s="1">
        <v>45070</v>
      </c>
      <c r="B585" t="s">
        <v>7</v>
      </c>
      <c r="C585" t="s">
        <v>15</v>
      </c>
      <c r="D585" t="s">
        <v>11</v>
      </c>
      <c r="E585">
        <v>468.48356669913602</v>
      </c>
      <c r="F585">
        <v>4</v>
      </c>
      <c r="G585">
        <v>78.975632093423698</v>
      </c>
    </row>
    <row r="586" spans="1:7" x14ac:dyDescent="0.45">
      <c r="A586" s="1">
        <v>44983</v>
      </c>
      <c r="B586" t="s">
        <v>14</v>
      </c>
      <c r="C586" t="s">
        <v>10</v>
      </c>
      <c r="D586" t="s">
        <v>17</v>
      </c>
      <c r="E586">
        <v>285.67297090983698</v>
      </c>
      <c r="F586">
        <v>11</v>
      </c>
      <c r="G586">
        <v>26.283345416068901</v>
      </c>
    </row>
    <row r="587" spans="1:7" x14ac:dyDescent="0.45">
      <c r="A587" s="1">
        <v>44965</v>
      </c>
      <c r="B587" t="s">
        <v>13</v>
      </c>
      <c r="C587" t="s">
        <v>16</v>
      </c>
      <c r="D587" t="s">
        <v>11</v>
      </c>
      <c r="E587">
        <v>658.16198460273597</v>
      </c>
      <c r="F587">
        <v>4</v>
      </c>
      <c r="G587">
        <v>91.286621303116902</v>
      </c>
    </row>
    <row r="588" spans="1:7" x14ac:dyDescent="0.45">
      <c r="A588" s="1">
        <v>45035</v>
      </c>
      <c r="B588" t="s">
        <v>12</v>
      </c>
      <c r="C588" t="s">
        <v>8</v>
      </c>
      <c r="D588" t="s">
        <v>17</v>
      </c>
      <c r="E588">
        <v>825.52972184113105</v>
      </c>
      <c r="F588">
        <v>1</v>
      </c>
      <c r="G588">
        <v>123.82595355032301</v>
      </c>
    </row>
    <row r="589" spans="1:7" x14ac:dyDescent="0.45">
      <c r="A589" s="1">
        <v>45107</v>
      </c>
      <c r="B589" t="s">
        <v>7</v>
      </c>
      <c r="C589" t="s">
        <v>10</v>
      </c>
      <c r="D589" t="s">
        <v>11</v>
      </c>
      <c r="E589">
        <v>72.508889998117397</v>
      </c>
      <c r="F589">
        <v>7</v>
      </c>
      <c r="G589">
        <v>4.6657992201014098</v>
      </c>
    </row>
    <row r="590" spans="1:7" x14ac:dyDescent="0.45">
      <c r="A590" s="1">
        <v>44968</v>
      </c>
      <c r="B590" t="s">
        <v>13</v>
      </c>
      <c r="C590" t="s">
        <v>10</v>
      </c>
      <c r="D590" t="s">
        <v>11</v>
      </c>
      <c r="E590">
        <v>779.02257857315396</v>
      </c>
      <c r="F590">
        <v>18</v>
      </c>
      <c r="G590">
        <v>152.55350807387501</v>
      </c>
    </row>
    <row r="591" spans="1:7" x14ac:dyDescent="0.45">
      <c r="A591" s="1">
        <v>45112</v>
      </c>
      <c r="B591" t="s">
        <v>13</v>
      </c>
      <c r="C591" t="s">
        <v>16</v>
      </c>
      <c r="D591" t="s">
        <v>9</v>
      </c>
      <c r="E591">
        <v>823.43145363215297</v>
      </c>
      <c r="F591">
        <v>9</v>
      </c>
      <c r="G591">
        <v>223.22062128271699</v>
      </c>
    </row>
    <row r="592" spans="1:7" x14ac:dyDescent="0.45">
      <c r="A592" s="1">
        <v>45149</v>
      </c>
      <c r="B592" t="s">
        <v>7</v>
      </c>
      <c r="C592" t="s">
        <v>16</v>
      </c>
      <c r="D592" t="s">
        <v>17</v>
      </c>
      <c r="E592">
        <v>466.90769831272002</v>
      </c>
      <c r="F592">
        <v>3</v>
      </c>
      <c r="G592">
        <v>41.057868471180299</v>
      </c>
    </row>
    <row r="593" spans="1:7" x14ac:dyDescent="0.45">
      <c r="A593" s="1">
        <v>45048</v>
      </c>
      <c r="B593" t="s">
        <v>14</v>
      </c>
      <c r="C593" t="s">
        <v>15</v>
      </c>
      <c r="D593" t="s">
        <v>11</v>
      </c>
      <c r="E593">
        <v>983.47260025028197</v>
      </c>
      <c r="F593">
        <v>8</v>
      </c>
      <c r="G593">
        <v>196.15558036012399</v>
      </c>
    </row>
    <row r="594" spans="1:7" x14ac:dyDescent="0.45">
      <c r="A594" s="1">
        <v>45059</v>
      </c>
      <c r="B594" t="s">
        <v>13</v>
      </c>
      <c r="C594" t="s">
        <v>16</v>
      </c>
      <c r="D594" t="s">
        <v>17</v>
      </c>
      <c r="E594">
        <v>788.84125730023595</v>
      </c>
      <c r="F594">
        <v>19</v>
      </c>
      <c r="G594">
        <v>170.53549040966899</v>
      </c>
    </row>
    <row r="595" spans="1:7" x14ac:dyDescent="0.45">
      <c r="A595" s="1">
        <v>45089</v>
      </c>
      <c r="B595" t="s">
        <v>18</v>
      </c>
      <c r="C595" t="s">
        <v>15</v>
      </c>
      <c r="D595" t="s">
        <v>17</v>
      </c>
      <c r="E595">
        <v>775.92593924670905</v>
      </c>
      <c r="F595">
        <v>4</v>
      </c>
      <c r="G595">
        <v>120.13946090309901</v>
      </c>
    </row>
    <row r="596" spans="1:7" x14ac:dyDescent="0.45">
      <c r="A596" s="1">
        <v>45141</v>
      </c>
      <c r="B596" t="s">
        <v>13</v>
      </c>
      <c r="C596" t="s">
        <v>10</v>
      </c>
      <c r="D596" t="s">
        <v>20</v>
      </c>
      <c r="E596">
        <v>750.36018866795098</v>
      </c>
      <c r="F596">
        <v>18</v>
      </c>
      <c r="G596">
        <v>169.036938915722</v>
      </c>
    </row>
    <row r="597" spans="1:7" x14ac:dyDescent="0.45">
      <c r="A597" s="1">
        <v>45147</v>
      </c>
      <c r="B597" t="s">
        <v>14</v>
      </c>
      <c r="C597" t="s">
        <v>19</v>
      </c>
      <c r="D597" t="s">
        <v>9</v>
      </c>
      <c r="E597">
        <v>159.10202218609101</v>
      </c>
      <c r="F597">
        <v>11</v>
      </c>
      <c r="G597">
        <v>24.292155895563099</v>
      </c>
    </row>
    <row r="598" spans="1:7" x14ac:dyDescent="0.45">
      <c r="A598" s="1">
        <v>45161</v>
      </c>
      <c r="B598" t="s">
        <v>14</v>
      </c>
      <c r="C598" t="s">
        <v>8</v>
      </c>
      <c r="D598" t="s">
        <v>9</v>
      </c>
      <c r="E598">
        <v>225.05857758848001</v>
      </c>
      <c r="F598">
        <v>14</v>
      </c>
      <c r="G598">
        <v>39.646166437001497</v>
      </c>
    </row>
    <row r="599" spans="1:7" x14ac:dyDescent="0.45">
      <c r="A599" s="1">
        <v>45257</v>
      </c>
      <c r="B599" t="s">
        <v>18</v>
      </c>
      <c r="C599" t="s">
        <v>10</v>
      </c>
      <c r="D599" t="s">
        <v>9</v>
      </c>
      <c r="E599">
        <v>469.35023014977997</v>
      </c>
      <c r="F599">
        <v>18</v>
      </c>
      <c r="G599">
        <v>24.330299795969498</v>
      </c>
    </row>
    <row r="600" spans="1:7" x14ac:dyDescent="0.45">
      <c r="A600" s="1">
        <v>45072</v>
      </c>
      <c r="B600" t="s">
        <v>13</v>
      </c>
      <c r="C600" t="s">
        <v>16</v>
      </c>
      <c r="D600" t="s">
        <v>20</v>
      </c>
      <c r="E600">
        <v>271.36430645987099</v>
      </c>
      <c r="F600">
        <v>16</v>
      </c>
      <c r="G600">
        <v>60.4952525821192</v>
      </c>
    </row>
    <row r="601" spans="1:7" x14ac:dyDescent="0.45">
      <c r="A601" s="1">
        <v>45165</v>
      </c>
      <c r="B601" t="s">
        <v>14</v>
      </c>
      <c r="C601" t="s">
        <v>8</v>
      </c>
      <c r="D601" t="s">
        <v>20</v>
      </c>
      <c r="E601">
        <v>421.08856261070002</v>
      </c>
      <c r="F601">
        <v>3</v>
      </c>
      <c r="G601">
        <v>90.675387648020902</v>
      </c>
    </row>
    <row r="602" spans="1:7" x14ac:dyDescent="0.45">
      <c r="A602" s="1">
        <v>45002</v>
      </c>
      <c r="B602" t="s">
        <v>7</v>
      </c>
      <c r="C602" t="s">
        <v>19</v>
      </c>
      <c r="D602" t="s">
        <v>9</v>
      </c>
      <c r="E602">
        <v>889.57946882369095</v>
      </c>
      <c r="F602">
        <v>15</v>
      </c>
      <c r="G602">
        <v>53.019131454767901</v>
      </c>
    </row>
    <row r="603" spans="1:7" x14ac:dyDescent="0.45">
      <c r="A603" s="1">
        <v>44935</v>
      </c>
      <c r="B603" t="s">
        <v>12</v>
      </c>
      <c r="C603" t="s">
        <v>19</v>
      </c>
      <c r="D603" t="s">
        <v>20</v>
      </c>
      <c r="E603">
        <v>826.08362296047596</v>
      </c>
      <c r="F603">
        <v>4</v>
      </c>
      <c r="G603">
        <v>117.35552686616199</v>
      </c>
    </row>
    <row r="604" spans="1:7" x14ac:dyDescent="0.45">
      <c r="A604" s="1">
        <v>45000</v>
      </c>
      <c r="B604" t="s">
        <v>12</v>
      </c>
      <c r="C604" t="s">
        <v>15</v>
      </c>
      <c r="D604" t="s">
        <v>20</v>
      </c>
      <c r="E604">
        <v>633.73947969518201</v>
      </c>
      <c r="F604">
        <v>5</v>
      </c>
      <c r="G604">
        <v>186.799756331841</v>
      </c>
    </row>
    <row r="605" spans="1:7" x14ac:dyDescent="0.45">
      <c r="A605" s="1">
        <v>45179</v>
      </c>
      <c r="B605" t="s">
        <v>12</v>
      </c>
      <c r="C605" t="s">
        <v>8</v>
      </c>
      <c r="D605" t="s">
        <v>20</v>
      </c>
      <c r="E605">
        <v>859.53919030859197</v>
      </c>
      <c r="F605">
        <v>17</v>
      </c>
      <c r="G605">
        <v>133.386850596291</v>
      </c>
    </row>
    <row r="606" spans="1:7" x14ac:dyDescent="0.45">
      <c r="A606" s="1">
        <v>45156</v>
      </c>
      <c r="B606" t="s">
        <v>13</v>
      </c>
      <c r="C606" t="s">
        <v>15</v>
      </c>
      <c r="D606" t="s">
        <v>9</v>
      </c>
      <c r="E606">
        <v>785.93466512707596</v>
      </c>
      <c r="F606">
        <v>7</v>
      </c>
      <c r="G606">
        <v>137.92080672994601</v>
      </c>
    </row>
    <row r="607" spans="1:7" x14ac:dyDescent="0.45">
      <c r="A607" s="1">
        <v>44933</v>
      </c>
      <c r="B607" t="s">
        <v>18</v>
      </c>
      <c r="C607" t="s">
        <v>10</v>
      </c>
      <c r="D607" t="s">
        <v>9</v>
      </c>
      <c r="E607">
        <v>434.69508252248102</v>
      </c>
      <c r="F607">
        <v>16</v>
      </c>
      <c r="G607">
        <v>120.620295423857</v>
      </c>
    </row>
    <row r="608" spans="1:7" x14ac:dyDescent="0.45">
      <c r="A608" s="1">
        <v>45100</v>
      </c>
      <c r="B608" t="s">
        <v>14</v>
      </c>
      <c r="C608" t="s">
        <v>8</v>
      </c>
      <c r="D608" t="s">
        <v>9</v>
      </c>
      <c r="E608">
        <v>209.05450052944499</v>
      </c>
      <c r="F608">
        <v>14</v>
      </c>
      <c r="G608">
        <v>47.939430828454498</v>
      </c>
    </row>
    <row r="609" spans="1:7" x14ac:dyDescent="0.45">
      <c r="A609" s="1">
        <v>45067</v>
      </c>
      <c r="B609" t="s">
        <v>7</v>
      </c>
      <c r="C609" t="s">
        <v>10</v>
      </c>
      <c r="D609" t="s">
        <v>20</v>
      </c>
      <c r="E609">
        <v>519.05902960924504</v>
      </c>
      <c r="F609">
        <v>16</v>
      </c>
      <c r="G609">
        <v>101.485140836928</v>
      </c>
    </row>
    <row r="610" spans="1:7" x14ac:dyDescent="0.45">
      <c r="A610" s="1">
        <v>45094</v>
      </c>
      <c r="B610" t="s">
        <v>7</v>
      </c>
      <c r="C610" t="s">
        <v>15</v>
      </c>
      <c r="D610" t="s">
        <v>9</v>
      </c>
      <c r="E610">
        <v>738.86659370326402</v>
      </c>
      <c r="F610">
        <v>7</v>
      </c>
      <c r="G610">
        <v>184.31113652091199</v>
      </c>
    </row>
    <row r="611" spans="1:7" x14ac:dyDescent="0.45">
      <c r="A611" s="1">
        <v>45096</v>
      </c>
      <c r="B611" t="s">
        <v>13</v>
      </c>
      <c r="C611" t="s">
        <v>8</v>
      </c>
      <c r="D611" t="s">
        <v>20</v>
      </c>
      <c r="E611">
        <v>442.05540274229702</v>
      </c>
      <c r="F611">
        <v>9</v>
      </c>
      <c r="G611">
        <v>117.627214645877</v>
      </c>
    </row>
    <row r="612" spans="1:7" x14ac:dyDescent="0.45">
      <c r="A612" s="1">
        <v>45209</v>
      </c>
      <c r="B612" t="s">
        <v>12</v>
      </c>
      <c r="C612" t="s">
        <v>15</v>
      </c>
      <c r="D612" t="s">
        <v>11</v>
      </c>
      <c r="E612">
        <v>670.10419068605802</v>
      </c>
      <c r="F612">
        <v>4</v>
      </c>
      <c r="G612">
        <v>110.045862420706</v>
      </c>
    </row>
    <row r="613" spans="1:7" x14ac:dyDescent="0.45">
      <c r="A613" s="1">
        <v>45048</v>
      </c>
      <c r="B613" t="s">
        <v>13</v>
      </c>
      <c r="C613" t="s">
        <v>8</v>
      </c>
      <c r="D613" t="s">
        <v>20</v>
      </c>
      <c r="E613">
        <v>103.384152028133</v>
      </c>
      <c r="F613">
        <v>11</v>
      </c>
      <c r="G613">
        <v>17.448876458894301</v>
      </c>
    </row>
    <row r="614" spans="1:7" x14ac:dyDescent="0.45">
      <c r="A614" s="1">
        <v>45120</v>
      </c>
      <c r="B614" t="s">
        <v>18</v>
      </c>
      <c r="C614" t="s">
        <v>15</v>
      </c>
      <c r="D614" t="s">
        <v>17</v>
      </c>
      <c r="E614">
        <v>750.52468900768895</v>
      </c>
      <c r="F614">
        <v>2</v>
      </c>
      <c r="G614">
        <v>109.96142405568899</v>
      </c>
    </row>
    <row r="615" spans="1:7" x14ac:dyDescent="0.45">
      <c r="A615" s="1">
        <v>44931</v>
      </c>
      <c r="B615" t="s">
        <v>18</v>
      </c>
      <c r="C615" t="s">
        <v>19</v>
      </c>
      <c r="D615" t="s">
        <v>9</v>
      </c>
      <c r="E615">
        <v>814.58648369413095</v>
      </c>
      <c r="F615">
        <v>12</v>
      </c>
      <c r="G615">
        <v>237.59576302549701</v>
      </c>
    </row>
    <row r="616" spans="1:7" x14ac:dyDescent="0.45">
      <c r="A616" s="1">
        <v>44955</v>
      </c>
      <c r="B616" t="s">
        <v>14</v>
      </c>
      <c r="C616" t="s">
        <v>15</v>
      </c>
      <c r="D616" t="s">
        <v>9</v>
      </c>
      <c r="E616">
        <v>709.76947722273496</v>
      </c>
      <c r="F616">
        <v>12</v>
      </c>
      <c r="G616">
        <v>159.195305822385</v>
      </c>
    </row>
    <row r="617" spans="1:7" x14ac:dyDescent="0.45">
      <c r="A617" s="1">
        <v>45091</v>
      </c>
      <c r="B617" t="s">
        <v>14</v>
      </c>
      <c r="C617" t="s">
        <v>19</v>
      </c>
      <c r="D617" t="s">
        <v>17</v>
      </c>
      <c r="E617">
        <v>967.59095165110102</v>
      </c>
      <c r="F617">
        <v>4</v>
      </c>
      <c r="G617">
        <v>68.511019040452894</v>
      </c>
    </row>
    <row r="618" spans="1:7" x14ac:dyDescent="0.45">
      <c r="A618" s="1">
        <v>45265</v>
      </c>
      <c r="B618" t="s">
        <v>18</v>
      </c>
      <c r="C618" t="s">
        <v>15</v>
      </c>
      <c r="D618" t="s">
        <v>20</v>
      </c>
      <c r="E618">
        <v>828.38553688603395</v>
      </c>
      <c r="F618">
        <v>18</v>
      </c>
      <c r="G618">
        <v>220.13509456158201</v>
      </c>
    </row>
    <row r="619" spans="1:7" x14ac:dyDescent="0.45">
      <c r="A619" s="1">
        <v>45062</v>
      </c>
      <c r="B619" t="s">
        <v>18</v>
      </c>
      <c r="C619" t="s">
        <v>8</v>
      </c>
      <c r="D619" t="s">
        <v>11</v>
      </c>
      <c r="E619">
        <v>904.06279059777296</v>
      </c>
      <c r="F619">
        <v>7</v>
      </c>
      <c r="G619">
        <v>153.81722982037201</v>
      </c>
    </row>
    <row r="620" spans="1:7" x14ac:dyDescent="0.45">
      <c r="A620" s="1">
        <v>45291</v>
      </c>
      <c r="B620" t="s">
        <v>18</v>
      </c>
      <c r="C620" t="s">
        <v>8</v>
      </c>
      <c r="D620" t="s">
        <v>17</v>
      </c>
      <c r="E620">
        <v>934.23537262307104</v>
      </c>
      <c r="F620">
        <v>1</v>
      </c>
      <c r="G620">
        <v>62.769851477629601</v>
      </c>
    </row>
    <row r="621" spans="1:7" x14ac:dyDescent="0.45">
      <c r="A621" s="1">
        <v>45247</v>
      </c>
      <c r="B621" t="s">
        <v>13</v>
      </c>
      <c r="C621" t="s">
        <v>8</v>
      </c>
      <c r="D621" t="s">
        <v>17</v>
      </c>
      <c r="E621">
        <v>803.33451195506996</v>
      </c>
      <c r="F621">
        <v>13</v>
      </c>
      <c r="G621">
        <v>150.56843632022799</v>
      </c>
    </row>
    <row r="622" spans="1:7" x14ac:dyDescent="0.45">
      <c r="A622" s="1">
        <v>45268</v>
      </c>
      <c r="B622" t="s">
        <v>18</v>
      </c>
      <c r="C622" t="s">
        <v>16</v>
      </c>
      <c r="D622" t="s">
        <v>20</v>
      </c>
      <c r="E622">
        <v>677.516253586434</v>
      </c>
      <c r="F622">
        <v>6</v>
      </c>
      <c r="G622">
        <v>104.534707534747</v>
      </c>
    </row>
    <row r="623" spans="1:7" x14ac:dyDescent="0.45">
      <c r="A623" s="1">
        <v>45071</v>
      </c>
      <c r="B623" t="s">
        <v>7</v>
      </c>
      <c r="C623" t="s">
        <v>10</v>
      </c>
      <c r="D623" t="s">
        <v>9</v>
      </c>
      <c r="E623">
        <v>15.6613955471813</v>
      </c>
      <c r="F623">
        <v>6</v>
      </c>
      <c r="G623">
        <v>4.2197649325732201</v>
      </c>
    </row>
    <row r="624" spans="1:7" x14ac:dyDescent="0.45">
      <c r="A624" s="1">
        <v>45253</v>
      </c>
      <c r="B624" t="s">
        <v>12</v>
      </c>
      <c r="C624" t="s">
        <v>8</v>
      </c>
      <c r="D624" t="s">
        <v>20</v>
      </c>
      <c r="E624">
        <v>471.16749569089302</v>
      </c>
      <c r="F624">
        <v>12</v>
      </c>
      <c r="G624">
        <v>47.5872814138175</v>
      </c>
    </row>
    <row r="625" spans="1:7" x14ac:dyDescent="0.45">
      <c r="A625" s="1">
        <v>45143</v>
      </c>
      <c r="B625" t="s">
        <v>18</v>
      </c>
      <c r="C625" t="s">
        <v>19</v>
      </c>
      <c r="D625" t="s">
        <v>17</v>
      </c>
      <c r="E625">
        <v>575.45067563613702</v>
      </c>
      <c r="F625">
        <v>8</v>
      </c>
      <c r="G625">
        <v>147.669938262215</v>
      </c>
    </row>
    <row r="626" spans="1:7" x14ac:dyDescent="0.45">
      <c r="A626" s="1">
        <v>45227</v>
      </c>
      <c r="B626" t="s">
        <v>12</v>
      </c>
      <c r="C626" t="s">
        <v>8</v>
      </c>
      <c r="D626" t="s">
        <v>17</v>
      </c>
      <c r="E626">
        <v>310.98996972351898</v>
      </c>
      <c r="F626">
        <v>19</v>
      </c>
      <c r="G626">
        <v>58.908395782904201</v>
      </c>
    </row>
    <row r="627" spans="1:7" x14ac:dyDescent="0.45">
      <c r="A627" s="1">
        <v>45058</v>
      </c>
      <c r="B627" t="s">
        <v>13</v>
      </c>
      <c r="C627" t="s">
        <v>16</v>
      </c>
      <c r="D627" t="s">
        <v>9</v>
      </c>
      <c r="E627">
        <v>324.92340243443698</v>
      </c>
      <c r="F627">
        <v>5</v>
      </c>
      <c r="G627">
        <v>20.682211503746</v>
      </c>
    </row>
    <row r="628" spans="1:7" x14ac:dyDescent="0.45">
      <c r="A628" s="1">
        <v>45218</v>
      </c>
      <c r="B628" t="s">
        <v>12</v>
      </c>
      <c r="C628" t="s">
        <v>19</v>
      </c>
      <c r="D628" t="s">
        <v>9</v>
      </c>
      <c r="E628">
        <v>961.54782155306305</v>
      </c>
      <c r="F628">
        <v>18</v>
      </c>
      <c r="G628">
        <v>281.69632417167799</v>
      </c>
    </row>
    <row r="629" spans="1:7" x14ac:dyDescent="0.45">
      <c r="A629" s="1">
        <v>44996</v>
      </c>
      <c r="B629" t="s">
        <v>13</v>
      </c>
      <c r="C629" t="s">
        <v>16</v>
      </c>
      <c r="D629" t="s">
        <v>9</v>
      </c>
      <c r="E629">
        <v>892.79375655071794</v>
      </c>
      <c r="F629">
        <v>5</v>
      </c>
      <c r="G629">
        <v>159.05461018955</v>
      </c>
    </row>
    <row r="630" spans="1:7" x14ac:dyDescent="0.45">
      <c r="A630" s="1">
        <v>45178</v>
      </c>
      <c r="B630" t="s">
        <v>7</v>
      </c>
      <c r="C630" t="s">
        <v>19</v>
      </c>
      <c r="D630" t="s">
        <v>20</v>
      </c>
      <c r="E630">
        <v>850.68721544668699</v>
      </c>
      <c r="F630">
        <v>10</v>
      </c>
      <c r="G630">
        <v>104.395666063373</v>
      </c>
    </row>
    <row r="631" spans="1:7" x14ac:dyDescent="0.45">
      <c r="A631" s="1">
        <v>45201</v>
      </c>
      <c r="B631" t="s">
        <v>13</v>
      </c>
      <c r="C631" t="s">
        <v>15</v>
      </c>
      <c r="D631" t="s">
        <v>9</v>
      </c>
      <c r="E631">
        <v>411.95168368904899</v>
      </c>
      <c r="F631">
        <v>1</v>
      </c>
      <c r="G631">
        <v>68.940818907611003</v>
      </c>
    </row>
    <row r="632" spans="1:7" x14ac:dyDescent="0.45">
      <c r="A632" s="1">
        <v>45290</v>
      </c>
      <c r="B632" t="s">
        <v>13</v>
      </c>
      <c r="C632" t="s">
        <v>10</v>
      </c>
      <c r="D632" t="s">
        <v>17</v>
      </c>
      <c r="E632">
        <v>23.561564904825399</v>
      </c>
      <c r="F632">
        <v>10</v>
      </c>
      <c r="G632">
        <v>6.2311962066055102</v>
      </c>
    </row>
    <row r="633" spans="1:7" x14ac:dyDescent="0.45">
      <c r="A633" s="1">
        <v>45108</v>
      </c>
      <c r="B633" t="s">
        <v>14</v>
      </c>
      <c r="C633" t="s">
        <v>10</v>
      </c>
      <c r="D633" t="s">
        <v>17</v>
      </c>
      <c r="E633">
        <v>89.420023991156896</v>
      </c>
      <c r="F633">
        <v>5</v>
      </c>
      <c r="G633">
        <v>11.287112373930601</v>
      </c>
    </row>
    <row r="634" spans="1:7" x14ac:dyDescent="0.45">
      <c r="A634" s="1">
        <v>45093</v>
      </c>
      <c r="B634" t="s">
        <v>18</v>
      </c>
      <c r="C634" t="s">
        <v>16</v>
      </c>
      <c r="D634" t="s">
        <v>11</v>
      </c>
      <c r="E634">
        <v>319.07440453542699</v>
      </c>
      <c r="F634">
        <v>12</v>
      </c>
      <c r="G634">
        <v>31.3232468460278</v>
      </c>
    </row>
    <row r="635" spans="1:7" x14ac:dyDescent="0.45">
      <c r="A635" s="1">
        <v>45017</v>
      </c>
      <c r="B635" t="s">
        <v>18</v>
      </c>
      <c r="C635" t="s">
        <v>10</v>
      </c>
      <c r="D635" t="s">
        <v>20</v>
      </c>
      <c r="E635">
        <v>25.5854838657202</v>
      </c>
      <c r="F635">
        <v>7</v>
      </c>
      <c r="G635">
        <v>2.1048617697556198</v>
      </c>
    </row>
    <row r="636" spans="1:7" x14ac:dyDescent="0.45">
      <c r="A636" s="1">
        <v>45128</v>
      </c>
      <c r="B636" t="s">
        <v>7</v>
      </c>
      <c r="C636" t="s">
        <v>16</v>
      </c>
      <c r="D636" t="s">
        <v>11</v>
      </c>
      <c r="E636">
        <v>26.978284096046099</v>
      </c>
      <c r="F636">
        <v>9</v>
      </c>
      <c r="G636">
        <v>3.3578480724144302</v>
      </c>
    </row>
    <row r="637" spans="1:7" x14ac:dyDescent="0.45">
      <c r="A637" s="1">
        <v>45272</v>
      </c>
      <c r="B637" t="s">
        <v>7</v>
      </c>
      <c r="C637" t="s">
        <v>16</v>
      </c>
      <c r="D637" t="s">
        <v>17</v>
      </c>
      <c r="E637">
        <v>917.43726862598601</v>
      </c>
      <c r="F637">
        <v>12</v>
      </c>
      <c r="G637">
        <v>224.783160024035</v>
      </c>
    </row>
    <row r="638" spans="1:7" x14ac:dyDescent="0.45">
      <c r="A638" s="1">
        <v>44945</v>
      </c>
      <c r="B638" t="s">
        <v>18</v>
      </c>
      <c r="C638" t="s">
        <v>16</v>
      </c>
      <c r="D638" t="s">
        <v>11</v>
      </c>
      <c r="E638">
        <v>709.09691709786296</v>
      </c>
      <c r="F638">
        <v>1</v>
      </c>
      <c r="G638">
        <v>119.0620462504</v>
      </c>
    </row>
    <row r="639" spans="1:7" x14ac:dyDescent="0.45">
      <c r="A639" s="1">
        <v>44965</v>
      </c>
      <c r="B639" t="s">
        <v>14</v>
      </c>
      <c r="C639" t="s">
        <v>10</v>
      </c>
      <c r="D639" t="s">
        <v>17</v>
      </c>
      <c r="E639">
        <v>315.86643016747098</v>
      </c>
      <c r="F639">
        <v>11</v>
      </c>
      <c r="G639">
        <v>33.756772030236</v>
      </c>
    </row>
    <row r="640" spans="1:7" x14ac:dyDescent="0.45">
      <c r="A640" s="1">
        <v>45052</v>
      </c>
      <c r="B640" t="s">
        <v>18</v>
      </c>
      <c r="C640" t="s">
        <v>16</v>
      </c>
      <c r="D640" t="s">
        <v>11</v>
      </c>
      <c r="E640">
        <v>141.31813182494301</v>
      </c>
      <c r="F640">
        <v>15</v>
      </c>
      <c r="G640">
        <v>12.937145011791801</v>
      </c>
    </row>
    <row r="641" spans="1:7" x14ac:dyDescent="0.45">
      <c r="A641" s="1">
        <v>45099</v>
      </c>
      <c r="B641" t="s">
        <v>14</v>
      </c>
      <c r="C641" t="s">
        <v>10</v>
      </c>
      <c r="D641" t="s">
        <v>9</v>
      </c>
      <c r="E641">
        <v>516.51936071612602</v>
      </c>
      <c r="F641">
        <v>2</v>
      </c>
      <c r="G641">
        <v>68.791272160444393</v>
      </c>
    </row>
    <row r="642" spans="1:7" x14ac:dyDescent="0.45">
      <c r="A642" s="1">
        <v>45067</v>
      </c>
      <c r="B642" t="s">
        <v>7</v>
      </c>
      <c r="C642" t="s">
        <v>16</v>
      </c>
      <c r="D642" t="s">
        <v>11</v>
      </c>
      <c r="E642">
        <v>15.292699245820801</v>
      </c>
      <c r="F642">
        <v>7</v>
      </c>
      <c r="G642">
        <v>4.3581301493805098</v>
      </c>
    </row>
    <row r="643" spans="1:7" x14ac:dyDescent="0.45">
      <c r="A643" s="1">
        <v>45168</v>
      </c>
      <c r="B643" t="s">
        <v>12</v>
      </c>
      <c r="C643" t="s">
        <v>8</v>
      </c>
      <c r="D643" t="s">
        <v>9</v>
      </c>
      <c r="E643">
        <v>939.02960641956201</v>
      </c>
      <c r="F643">
        <v>12</v>
      </c>
      <c r="G643">
        <v>127.479540049679</v>
      </c>
    </row>
    <row r="644" spans="1:7" x14ac:dyDescent="0.45">
      <c r="A644" s="1">
        <v>45146</v>
      </c>
      <c r="B644" t="s">
        <v>7</v>
      </c>
      <c r="C644" t="s">
        <v>16</v>
      </c>
      <c r="D644" t="s">
        <v>9</v>
      </c>
      <c r="E644">
        <v>420.666968195057</v>
      </c>
      <c r="F644">
        <v>18</v>
      </c>
      <c r="G644">
        <v>124.951138217847</v>
      </c>
    </row>
    <row r="645" spans="1:7" x14ac:dyDescent="0.45">
      <c r="A645" s="1">
        <v>45052</v>
      </c>
      <c r="B645" t="s">
        <v>7</v>
      </c>
      <c r="C645" t="s">
        <v>19</v>
      </c>
      <c r="D645" t="s">
        <v>20</v>
      </c>
      <c r="E645">
        <v>408.31160568495898</v>
      </c>
      <c r="F645">
        <v>3</v>
      </c>
      <c r="G645">
        <v>69.946886914447205</v>
      </c>
    </row>
    <row r="646" spans="1:7" x14ac:dyDescent="0.45">
      <c r="A646" s="1">
        <v>44984</v>
      </c>
      <c r="B646" t="s">
        <v>13</v>
      </c>
      <c r="C646" t="s">
        <v>16</v>
      </c>
      <c r="D646" t="s">
        <v>9</v>
      </c>
      <c r="E646">
        <v>396.68767150596398</v>
      </c>
      <c r="F646">
        <v>7</v>
      </c>
      <c r="G646">
        <v>37.602412966399399</v>
      </c>
    </row>
    <row r="647" spans="1:7" x14ac:dyDescent="0.45">
      <c r="A647" s="1">
        <v>45074</v>
      </c>
      <c r="B647" t="s">
        <v>13</v>
      </c>
      <c r="C647" t="s">
        <v>15</v>
      </c>
      <c r="D647" t="s">
        <v>9</v>
      </c>
      <c r="E647">
        <v>78.635047083887102</v>
      </c>
      <c r="F647">
        <v>11</v>
      </c>
      <c r="G647">
        <v>21.450463123324798</v>
      </c>
    </row>
    <row r="648" spans="1:7" x14ac:dyDescent="0.45">
      <c r="A648" s="1">
        <v>45243</v>
      </c>
      <c r="B648" t="s">
        <v>13</v>
      </c>
      <c r="C648" t="s">
        <v>16</v>
      </c>
      <c r="D648" t="s">
        <v>11</v>
      </c>
      <c r="E648">
        <v>641.93901739390799</v>
      </c>
      <c r="F648">
        <v>18</v>
      </c>
      <c r="G648">
        <v>105.97696984023899</v>
      </c>
    </row>
    <row r="649" spans="1:7" x14ac:dyDescent="0.45">
      <c r="A649" s="1">
        <v>45287</v>
      </c>
      <c r="B649" t="s">
        <v>13</v>
      </c>
      <c r="C649" t="s">
        <v>19</v>
      </c>
      <c r="D649" t="s">
        <v>17</v>
      </c>
      <c r="E649">
        <v>735.67358343206899</v>
      </c>
      <c r="F649">
        <v>12</v>
      </c>
      <c r="G649">
        <v>167.305294255359</v>
      </c>
    </row>
    <row r="650" spans="1:7" x14ac:dyDescent="0.45">
      <c r="A650" s="1">
        <v>44927</v>
      </c>
      <c r="B650" t="s">
        <v>14</v>
      </c>
      <c r="C650" t="s">
        <v>19</v>
      </c>
      <c r="D650" t="s">
        <v>20</v>
      </c>
      <c r="E650">
        <v>679.36414361240702</v>
      </c>
      <c r="F650">
        <v>6</v>
      </c>
      <c r="G650">
        <v>201.042801502743</v>
      </c>
    </row>
    <row r="651" spans="1:7" x14ac:dyDescent="0.45">
      <c r="A651" s="1">
        <v>45274</v>
      </c>
      <c r="B651" t="s">
        <v>18</v>
      </c>
      <c r="C651" t="s">
        <v>10</v>
      </c>
      <c r="D651" t="s">
        <v>9</v>
      </c>
      <c r="E651">
        <v>147.05113839609999</v>
      </c>
      <c r="F651">
        <v>5</v>
      </c>
      <c r="G651">
        <v>9.1971425157988396</v>
      </c>
    </row>
    <row r="652" spans="1:7" x14ac:dyDescent="0.45">
      <c r="A652" s="1">
        <v>45116</v>
      </c>
      <c r="B652" t="s">
        <v>12</v>
      </c>
      <c r="C652" t="s">
        <v>8</v>
      </c>
      <c r="D652" t="s">
        <v>20</v>
      </c>
      <c r="E652">
        <v>583.05176635523605</v>
      </c>
      <c r="F652">
        <v>1</v>
      </c>
      <c r="G652">
        <v>43.247071788032599</v>
      </c>
    </row>
    <row r="653" spans="1:7" x14ac:dyDescent="0.45">
      <c r="A653" s="1">
        <v>45117</v>
      </c>
      <c r="B653" t="s">
        <v>7</v>
      </c>
      <c r="C653" t="s">
        <v>16</v>
      </c>
      <c r="D653" t="s">
        <v>11</v>
      </c>
      <c r="E653">
        <v>573.78963933053103</v>
      </c>
      <c r="F653">
        <v>12</v>
      </c>
      <c r="G653">
        <v>132.03713542581701</v>
      </c>
    </row>
    <row r="654" spans="1:7" x14ac:dyDescent="0.45">
      <c r="A654" s="1">
        <v>45238</v>
      </c>
      <c r="B654" t="s">
        <v>14</v>
      </c>
      <c r="C654" t="s">
        <v>10</v>
      </c>
      <c r="D654" t="s">
        <v>9</v>
      </c>
      <c r="E654">
        <v>869.72668006196795</v>
      </c>
      <c r="F654">
        <v>11</v>
      </c>
      <c r="G654">
        <v>104.764015121754</v>
      </c>
    </row>
    <row r="655" spans="1:7" x14ac:dyDescent="0.45">
      <c r="A655" s="1">
        <v>45043</v>
      </c>
      <c r="B655" t="s">
        <v>12</v>
      </c>
      <c r="C655" t="s">
        <v>8</v>
      </c>
      <c r="D655" t="s">
        <v>11</v>
      </c>
      <c r="E655">
        <v>385.33638179189001</v>
      </c>
      <c r="F655">
        <v>4</v>
      </c>
      <c r="G655">
        <v>37.021327454580003</v>
      </c>
    </row>
    <row r="656" spans="1:7" x14ac:dyDescent="0.45">
      <c r="A656" s="1">
        <v>45060</v>
      </c>
      <c r="B656" t="s">
        <v>14</v>
      </c>
      <c r="C656" t="s">
        <v>16</v>
      </c>
      <c r="D656" t="s">
        <v>20</v>
      </c>
      <c r="E656">
        <v>377.77108422283902</v>
      </c>
      <c r="F656">
        <v>18</v>
      </c>
      <c r="G656">
        <v>22.605999215278999</v>
      </c>
    </row>
    <row r="657" spans="1:7" x14ac:dyDescent="0.45">
      <c r="A657" s="1">
        <v>44984</v>
      </c>
      <c r="B657" t="s">
        <v>14</v>
      </c>
      <c r="C657" t="s">
        <v>15</v>
      </c>
      <c r="D657" t="s">
        <v>11</v>
      </c>
      <c r="E657">
        <v>622.341788131003</v>
      </c>
      <c r="F657">
        <v>4</v>
      </c>
      <c r="G657">
        <v>34.516119857119101</v>
      </c>
    </row>
    <row r="658" spans="1:7" x14ac:dyDescent="0.45">
      <c r="A658" s="1">
        <v>44970</v>
      </c>
      <c r="B658" t="s">
        <v>7</v>
      </c>
      <c r="C658" t="s">
        <v>16</v>
      </c>
      <c r="D658" t="s">
        <v>20</v>
      </c>
      <c r="E658">
        <v>636.74192696451701</v>
      </c>
      <c r="F658">
        <v>17</v>
      </c>
      <c r="G658">
        <v>155.12396018241901</v>
      </c>
    </row>
    <row r="659" spans="1:7" x14ac:dyDescent="0.45">
      <c r="A659" s="1">
        <v>45099</v>
      </c>
      <c r="B659" t="s">
        <v>18</v>
      </c>
      <c r="C659" t="s">
        <v>19</v>
      </c>
      <c r="D659" t="s">
        <v>11</v>
      </c>
      <c r="E659">
        <v>474.59237505253202</v>
      </c>
      <c r="F659">
        <v>2</v>
      </c>
      <c r="G659">
        <v>39.6798886480683</v>
      </c>
    </row>
    <row r="660" spans="1:7" x14ac:dyDescent="0.45">
      <c r="A660" s="1">
        <v>45086</v>
      </c>
      <c r="B660" t="s">
        <v>13</v>
      </c>
      <c r="C660" t="s">
        <v>19</v>
      </c>
      <c r="D660" t="s">
        <v>20</v>
      </c>
      <c r="E660">
        <v>448.62876870711602</v>
      </c>
      <c r="F660">
        <v>2</v>
      </c>
      <c r="G660">
        <v>74.889669445873693</v>
      </c>
    </row>
    <row r="661" spans="1:7" x14ac:dyDescent="0.45">
      <c r="A661" s="1">
        <v>45099</v>
      </c>
      <c r="B661" t="s">
        <v>18</v>
      </c>
      <c r="C661" t="s">
        <v>15</v>
      </c>
      <c r="D661" t="s">
        <v>17</v>
      </c>
      <c r="E661">
        <v>499.20619393150298</v>
      </c>
      <c r="F661">
        <v>12</v>
      </c>
      <c r="G661">
        <v>100.577170451817</v>
      </c>
    </row>
    <row r="662" spans="1:7" x14ac:dyDescent="0.45">
      <c r="A662" s="1">
        <v>45243</v>
      </c>
      <c r="B662" t="s">
        <v>7</v>
      </c>
      <c r="C662" t="s">
        <v>10</v>
      </c>
      <c r="D662" t="s">
        <v>11</v>
      </c>
      <c r="E662">
        <v>862.43484650827804</v>
      </c>
      <c r="F662">
        <v>6</v>
      </c>
      <c r="G662">
        <v>135.478122169198</v>
      </c>
    </row>
    <row r="663" spans="1:7" x14ac:dyDescent="0.45">
      <c r="A663" s="1">
        <v>45229</v>
      </c>
      <c r="B663" t="s">
        <v>7</v>
      </c>
      <c r="C663" t="s">
        <v>8</v>
      </c>
      <c r="D663" t="s">
        <v>11</v>
      </c>
      <c r="E663">
        <v>466.55523224136999</v>
      </c>
      <c r="F663">
        <v>10</v>
      </c>
      <c r="G663">
        <v>26.4894492310728</v>
      </c>
    </row>
    <row r="664" spans="1:7" x14ac:dyDescent="0.45">
      <c r="A664" s="1">
        <v>45075</v>
      </c>
      <c r="B664" t="s">
        <v>7</v>
      </c>
      <c r="C664" t="s">
        <v>16</v>
      </c>
      <c r="D664" t="s">
        <v>17</v>
      </c>
      <c r="E664">
        <v>940.53247405012405</v>
      </c>
      <c r="F664">
        <v>16</v>
      </c>
      <c r="G664">
        <v>231.253775365255</v>
      </c>
    </row>
    <row r="665" spans="1:7" x14ac:dyDescent="0.45">
      <c r="A665" s="1">
        <v>45006</v>
      </c>
      <c r="B665" t="s">
        <v>12</v>
      </c>
      <c r="C665" t="s">
        <v>19</v>
      </c>
      <c r="D665" t="s">
        <v>17</v>
      </c>
      <c r="E665">
        <v>508.96372596036201</v>
      </c>
      <c r="F665">
        <v>14</v>
      </c>
      <c r="G665">
        <v>26.785898781662599</v>
      </c>
    </row>
    <row r="666" spans="1:7" x14ac:dyDescent="0.45">
      <c r="A666" s="1">
        <v>45139</v>
      </c>
      <c r="B666" t="s">
        <v>18</v>
      </c>
      <c r="C666" t="s">
        <v>10</v>
      </c>
      <c r="D666" t="s">
        <v>11</v>
      </c>
      <c r="E666">
        <v>949.70868624908201</v>
      </c>
      <c r="F666">
        <v>7</v>
      </c>
      <c r="G666">
        <v>228.378796976377</v>
      </c>
    </row>
    <row r="667" spans="1:7" x14ac:dyDescent="0.45">
      <c r="A667" s="1">
        <v>45129</v>
      </c>
      <c r="B667" t="s">
        <v>18</v>
      </c>
      <c r="C667" t="s">
        <v>15</v>
      </c>
      <c r="D667" t="s">
        <v>17</v>
      </c>
      <c r="E667">
        <v>834.50358285038499</v>
      </c>
      <c r="F667">
        <v>19</v>
      </c>
      <c r="G667">
        <v>228.09162930315301</v>
      </c>
    </row>
    <row r="668" spans="1:7" x14ac:dyDescent="0.45">
      <c r="A668" s="1">
        <v>45178</v>
      </c>
      <c r="B668" t="s">
        <v>14</v>
      </c>
      <c r="C668" t="s">
        <v>19</v>
      </c>
      <c r="D668" t="s">
        <v>9</v>
      </c>
      <c r="E668">
        <v>368.80700938966999</v>
      </c>
      <c r="F668">
        <v>17</v>
      </c>
      <c r="G668">
        <v>58.348949676872699</v>
      </c>
    </row>
    <row r="669" spans="1:7" x14ac:dyDescent="0.45">
      <c r="A669" s="1">
        <v>45155</v>
      </c>
      <c r="B669" t="s">
        <v>14</v>
      </c>
      <c r="C669" t="s">
        <v>15</v>
      </c>
      <c r="D669" t="s">
        <v>20</v>
      </c>
      <c r="E669">
        <v>865.00500708364905</v>
      </c>
      <c r="F669">
        <v>9</v>
      </c>
      <c r="G669">
        <v>159.061980538071</v>
      </c>
    </row>
    <row r="670" spans="1:7" x14ac:dyDescent="0.45">
      <c r="A670" s="1">
        <v>45090</v>
      </c>
      <c r="B670" t="s">
        <v>14</v>
      </c>
      <c r="C670" t="s">
        <v>16</v>
      </c>
      <c r="D670" t="s">
        <v>20</v>
      </c>
      <c r="E670">
        <v>118.962651359104</v>
      </c>
      <c r="F670">
        <v>13</v>
      </c>
      <c r="G670">
        <v>20.133934827969298</v>
      </c>
    </row>
    <row r="671" spans="1:7" x14ac:dyDescent="0.45">
      <c r="A671" s="1">
        <v>45153</v>
      </c>
      <c r="B671" t="s">
        <v>7</v>
      </c>
      <c r="C671" t="s">
        <v>8</v>
      </c>
      <c r="D671" t="s">
        <v>20</v>
      </c>
      <c r="E671">
        <v>925.79670358958401</v>
      </c>
      <c r="F671">
        <v>5</v>
      </c>
      <c r="G671">
        <v>136.371849212038</v>
      </c>
    </row>
    <row r="672" spans="1:7" x14ac:dyDescent="0.45">
      <c r="A672" s="1">
        <v>45073</v>
      </c>
      <c r="B672" t="s">
        <v>18</v>
      </c>
      <c r="C672" t="s">
        <v>19</v>
      </c>
      <c r="D672" t="s">
        <v>9</v>
      </c>
      <c r="E672">
        <v>635.32707993206202</v>
      </c>
      <c r="F672">
        <v>5</v>
      </c>
      <c r="G672">
        <v>172.717563675832</v>
      </c>
    </row>
    <row r="673" spans="1:7" x14ac:dyDescent="0.45">
      <c r="A673" s="1">
        <v>44946</v>
      </c>
      <c r="B673" t="s">
        <v>7</v>
      </c>
      <c r="C673" t="s">
        <v>19</v>
      </c>
      <c r="D673" t="s">
        <v>17</v>
      </c>
      <c r="E673">
        <v>63.846841037087998</v>
      </c>
      <c r="F673">
        <v>10</v>
      </c>
      <c r="G673">
        <v>17.461049740222599</v>
      </c>
    </row>
    <row r="674" spans="1:7" x14ac:dyDescent="0.45">
      <c r="A674" s="1">
        <v>44973</v>
      </c>
      <c r="B674" t="s">
        <v>12</v>
      </c>
      <c r="C674" t="s">
        <v>16</v>
      </c>
      <c r="D674" t="s">
        <v>17</v>
      </c>
      <c r="E674">
        <v>647.81415641430306</v>
      </c>
      <c r="F674">
        <v>10</v>
      </c>
      <c r="G674">
        <v>86.777356563308601</v>
      </c>
    </row>
    <row r="675" spans="1:7" x14ac:dyDescent="0.45">
      <c r="A675" s="1">
        <v>45159</v>
      </c>
      <c r="B675" t="s">
        <v>14</v>
      </c>
      <c r="C675" t="s">
        <v>10</v>
      </c>
      <c r="D675" t="s">
        <v>11</v>
      </c>
      <c r="E675">
        <v>974.50517760330797</v>
      </c>
      <c r="F675">
        <v>7</v>
      </c>
      <c r="G675">
        <v>198.57242384879399</v>
      </c>
    </row>
    <row r="676" spans="1:7" x14ac:dyDescent="0.45">
      <c r="A676" s="1">
        <v>45231</v>
      </c>
      <c r="B676" t="s">
        <v>7</v>
      </c>
      <c r="C676" t="s">
        <v>8</v>
      </c>
      <c r="D676" t="s">
        <v>17</v>
      </c>
      <c r="E676">
        <v>79.102648068482594</v>
      </c>
      <c r="F676">
        <v>15</v>
      </c>
      <c r="G676">
        <v>22.285343073534001</v>
      </c>
    </row>
    <row r="677" spans="1:7" x14ac:dyDescent="0.45">
      <c r="A677" s="1">
        <v>44940</v>
      </c>
      <c r="B677" t="s">
        <v>7</v>
      </c>
      <c r="C677" t="s">
        <v>19</v>
      </c>
      <c r="D677" t="s">
        <v>11</v>
      </c>
      <c r="E677">
        <v>559.14083268228501</v>
      </c>
      <c r="F677">
        <v>7</v>
      </c>
      <c r="G677">
        <v>162.43858918089799</v>
      </c>
    </row>
    <row r="678" spans="1:7" x14ac:dyDescent="0.45">
      <c r="A678" s="1">
        <v>45069</v>
      </c>
      <c r="B678" t="s">
        <v>12</v>
      </c>
      <c r="C678" t="s">
        <v>8</v>
      </c>
      <c r="D678" t="s">
        <v>9</v>
      </c>
      <c r="E678">
        <v>750.31640626177796</v>
      </c>
      <c r="F678">
        <v>15</v>
      </c>
      <c r="G678">
        <v>132.98589984906701</v>
      </c>
    </row>
    <row r="679" spans="1:7" x14ac:dyDescent="0.45">
      <c r="A679" s="1">
        <v>44927</v>
      </c>
      <c r="B679" t="s">
        <v>13</v>
      </c>
      <c r="C679" t="s">
        <v>19</v>
      </c>
      <c r="D679" t="s">
        <v>20</v>
      </c>
      <c r="E679">
        <v>812.15600083253605</v>
      </c>
      <c r="F679">
        <v>3</v>
      </c>
      <c r="G679">
        <v>132.548895775999</v>
      </c>
    </row>
    <row r="680" spans="1:7" x14ac:dyDescent="0.45">
      <c r="A680" s="1">
        <v>44980</v>
      </c>
      <c r="B680" t="s">
        <v>18</v>
      </c>
      <c r="C680" t="s">
        <v>8</v>
      </c>
      <c r="D680" t="s">
        <v>20</v>
      </c>
      <c r="E680">
        <v>419.68919066758701</v>
      </c>
      <c r="F680">
        <v>19</v>
      </c>
      <c r="G680">
        <v>50.225707507304399</v>
      </c>
    </row>
    <row r="681" spans="1:7" x14ac:dyDescent="0.45">
      <c r="A681" s="1">
        <v>45185</v>
      </c>
      <c r="B681" t="s">
        <v>13</v>
      </c>
      <c r="C681" t="s">
        <v>15</v>
      </c>
      <c r="D681" t="s">
        <v>20</v>
      </c>
      <c r="E681">
        <v>212.12489357656</v>
      </c>
      <c r="F681">
        <v>10</v>
      </c>
      <c r="G681">
        <v>61.456393192346198</v>
      </c>
    </row>
    <row r="682" spans="1:7" x14ac:dyDescent="0.45">
      <c r="A682" s="1">
        <v>45070</v>
      </c>
      <c r="B682" t="s">
        <v>14</v>
      </c>
      <c r="C682" t="s">
        <v>19</v>
      </c>
      <c r="D682" t="s">
        <v>17</v>
      </c>
      <c r="E682">
        <v>51.918855984659999</v>
      </c>
      <c r="F682">
        <v>15</v>
      </c>
      <c r="G682">
        <v>4.4496316258520396</v>
      </c>
    </row>
    <row r="683" spans="1:7" x14ac:dyDescent="0.45">
      <c r="A683" s="1">
        <v>44938</v>
      </c>
      <c r="B683" t="s">
        <v>7</v>
      </c>
      <c r="C683" t="s">
        <v>8</v>
      </c>
      <c r="D683" t="s">
        <v>11</v>
      </c>
      <c r="E683">
        <v>583.92889552625195</v>
      </c>
      <c r="F683">
        <v>3</v>
      </c>
      <c r="G683">
        <v>113.84125576006301</v>
      </c>
    </row>
    <row r="684" spans="1:7" x14ac:dyDescent="0.45">
      <c r="A684" s="1">
        <v>45256</v>
      </c>
      <c r="B684" t="s">
        <v>12</v>
      </c>
      <c r="C684" t="s">
        <v>10</v>
      </c>
      <c r="D684" t="s">
        <v>11</v>
      </c>
      <c r="E684">
        <v>458.38195956493399</v>
      </c>
      <c r="F684">
        <v>6</v>
      </c>
      <c r="G684">
        <v>55.298084303444199</v>
      </c>
    </row>
    <row r="685" spans="1:7" x14ac:dyDescent="0.45">
      <c r="A685" s="1">
        <v>45150</v>
      </c>
      <c r="B685" t="s">
        <v>12</v>
      </c>
      <c r="C685" t="s">
        <v>15</v>
      </c>
      <c r="D685" t="s">
        <v>9</v>
      </c>
      <c r="E685">
        <v>949.25695119821296</v>
      </c>
      <c r="F685">
        <v>12</v>
      </c>
      <c r="G685">
        <v>113.67548732355399</v>
      </c>
    </row>
    <row r="686" spans="1:7" x14ac:dyDescent="0.45">
      <c r="A686" s="1">
        <v>45198</v>
      </c>
      <c r="B686" t="s">
        <v>18</v>
      </c>
      <c r="C686" t="s">
        <v>15</v>
      </c>
      <c r="D686" t="s">
        <v>17</v>
      </c>
      <c r="E686">
        <v>69.998858637760605</v>
      </c>
      <c r="F686">
        <v>15</v>
      </c>
      <c r="G686">
        <v>10.5867776570079</v>
      </c>
    </row>
    <row r="687" spans="1:7" x14ac:dyDescent="0.45">
      <c r="A687" s="1">
        <v>45284</v>
      </c>
      <c r="B687" t="s">
        <v>13</v>
      </c>
      <c r="C687" t="s">
        <v>10</v>
      </c>
      <c r="D687" t="s">
        <v>9</v>
      </c>
      <c r="E687">
        <v>688.54139001154499</v>
      </c>
      <c r="F687">
        <v>6</v>
      </c>
      <c r="G687">
        <v>206.35463859063299</v>
      </c>
    </row>
    <row r="688" spans="1:7" x14ac:dyDescent="0.45">
      <c r="A688" s="1">
        <v>45082</v>
      </c>
      <c r="B688" t="s">
        <v>18</v>
      </c>
      <c r="C688" t="s">
        <v>8</v>
      </c>
      <c r="D688" t="s">
        <v>11</v>
      </c>
      <c r="E688">
        <v>34.716559898856602</v>
      </c>
      <c r="F688">
        <v>13</v>
      </c>
      <c r="G688">
        <v>2.2128882658987301</v>
      </c>
    </row>
    <row r="689" spans="1:7" x14ac:dyDescent="0.45">
      <c r="A689" s="1">
        <v>44934</v>
      </c>
      <c r="B689" t="s">
        <v>7</v>
      </c>
      <c r="C689" t="s">
        <v>16</v>
      </c>
      <c r="D689" t="s">
        <v>11</v>
      </c>
      <c r="E689">
        <v>179.71983494343701</v>
      </c>
      <c r="F689">
        <v>19</v>
      </c>
      <c r="G689">
        <v>34.979851766025497</v>
      </c>
    </row>
    <row r="690" spans="1:7" x14ac:dyDescent="0.45">
      <c r="A690" s="1">
        <v>45048</v>
      </c>
      <c r="B690" t="s">
        <v>18</v>
      </c>
      <c r="C690" t="s">
        <v>10</v>
      </c>
      <c r="D690" t="s">
        <v>20</v>
      </c>
      <c r="E690">
        <v>459.04320992360499</v>
      </c>
      <c r="F690">
        <v>3</v>
      </c>
      <c r="G690">
        <v>32.4282076148885</v>
      </c>
    </row>
    <row r="691" spans="1:7" x14ac:dyDescent="0.45">
      <c r="A691" s="1">
        <v>45274</v>
      </c>
      <c r="B691" t="s">
        <v>12</v>
      </c>
      <c r="C691" t="s">
        <v>8</v>
      </c>
      <c r="D691" t="s">
        <v>17</v>
      </c>
      <c r="E691">
        <v>460.32371837483902</v>
      </c>
      <c r="F691">
        <v>8</v>
      </c>
      <c r="G691">
        <v>40.798586675642497</v>
      </c>
    </row>
    <row r="692" spans="1:7" x14ac:dyDescent="0.45">
      <c r="A692" s="1">
        <v>45090</v>
      </c>
      <c r="B692" t="s">
        <v>12</v>
      </c>
      <c r="C692" t="s">
        <v>10</v>
      </c>
      <c r="D692" t="s">
        <v>11</v>
      </c>
      <c r="E692">
        <v>688.84353750430705</v>
      </c>
      <c r="F692">
        <v>8</v>
      </c>
      <c r="G692">
        <v>110.139699816876</v>
      </c>
    </row>
    <row r="693" spans="1:7" x14ac:dyDescent="0.45">
      <c r="A693" s="1">
        <v>45016</v>
      </c>
      <c r="B693" t="s">
        <v>14</v>
      </c>
      <c r="C693" t="s">
        <v>10</v>
      </c>
      <c r="D693" t="s">
        <v>20</v>
      </c>
      <c r="E693">
        <v>911.11090451907899</v>
      </c>
      <c r="F693">
        <v>15</v>
      </c>
      <c r="G693">
        <v>161.82699322394899</v>
      </c>
    </row>
    <row r="694" spans="1:7" x14ac:dyDescent="0.45">
      <c r="A694" s="1">
        <v>45062</v>
      </c>
      <c r="B694" t="s">
        <v>14</v>
      </c>
      <c r="C694" t="s">
        <v>19</v>
      </c>
      <c r="D694" t="s">
        <v>17</v>
      </c>
      <c r="E694">
        <v>642.64183732577101</v>
      </c>
      <c r="F694">
        <v>4</v>
      </c>
      <c r="G694">
        <v>73.709799065623301</v>
      </c>
    </row>
    <row r="695" spans="1:7" x14ac:dyDescent="0.45">
      <c r="A695" s="1">
        <v>45112</v>
      </c>
      <c r="B695" t="s">
        <v>7</v>
      </c>
      <c r="C695" t="s">
        <v>8</v>
      </c>
      <c r="D695" t="s">
        <v>9</v>
      </c>
      <c r="E695">
        <v>953.999746872993</v>
      </c>
      <c r="F695">
        <v>19</v>
      </c>
      <c r="G695">
        <v>123.174993031236</v>
      </c>
    </row>
    <row r="696" spans="1:7" x14ac:dyDescent="0.45">
      <c r="A696" s="1">
        <v>45242</v>
      </c>
      <c r="B696" t="s">
        <v>13</v>
      </c>
      <c r="C696" t="s">
        <v>16</v>
      </c>
      <c r="D696" t="s">
        <v>17</v>
      </c>
      <c r="E696">
        <v>882.79948347921697</v>
      </c>
      <c r="F696">
        <v>3</v>
      </c>
      <c r="G696">
        <v>63.3335843143769</v>
      </c>
    </row>
    <row r="697" spans="1:7" x14ac:dyDescent="0.45">
      <c r="A697" s="1">
        <v>45104</v>
      </c>
      <c r="B697" t="s">
        <v>18</v>
      </c>
      <c r="C697" t="s">
        <v>19</v>
      </c>
      <c r="D697" t="s">
        <v>17</v>
      </c>
      <c r="E697">
        <v>588.65479757548201</v>
      </c>
      <c r="F697">
        <v>13</v>
      </c>
      <c r="G697">
        <v>74.055684998703796</v>
      </c>
    </row>
    <row r="698" spans="1:7" x14ac:dyDescent="0.45">
      <c r="A698" s="1">
        <v>44954</v>
      </c>
      <c r="B698" t="s">
        <v>7</v>
      </c>
      <c r="C698" t="s">
        <v>10</v>
      </c>
      <c r="D698" t="s">
        <v>11</v>
      </c>
      <c r="E698">
        <v>835.45403140963901</v>
      </c>
      <c r="F698">
        <v>8</v>
      </c>
      <c r="G698">
        <v>243.651487763853</v>
      </c>
    </row>
    <row r="699" spans="1:7" x14ac:dyDescent="0.45">
      <c r="A699" s="1">
        <v>45146</v>
      </c>
      <c r="B699" t="s">
        <v>14</v>
      </c>
      <c r="C699" t="s">
        <v>10</v>
      </c>
      <c r="D699" t="s">
        <v>11</v>
      </c>
      <c r="E699">
        <v>646.15183422039695</v>
      </c>
      <c r="F699">
        <v>16</v>
      </c>
      <c r="G699">
        <v>184.913693578325</v>
      </c>
    </row>
    <row r="700" spans="1:7" x14ac:dyDescent="0.45">
      <c r="A700" s="1">
        <v>45283</v>
      </c>
      <c r="B700" t="s">
        <v>18</v>
      </c>
      <c r="C700" t="s">
        <v>10</v>
      </c>
      <c r="D700" t="s">
        <v>17</v>
      </c>
      <c r="E700">
        <v>87.772252614489801</v>
      </c>
      <c r="F700">
        <v>13</v>
      </c>
      <c r="G700">
        <v>11.7368680999774</v>
      </c>
    </row>
    <row r="701" spans="1:7" x14ac:dyDescent="0.45">
      <c r="A701" s="1">
        <v>44967</v>
      </c>
      <c r="B701" t="s">
        <v>14</v>
      </c>
      <c r="C701" t="s">
        <v>8</v>
      </c>
      <c r="D701" t="s">
        <v>11</v>
      </c>
      <c r="E701">
        <v>743.15907602691402</v>
      </c>
      <c r="F701">
        <v>3</v>
      </c>
      <c r="G701">
        <v>143.216774759158</v>
      </c>
    </row>
    <row r="702" spans="1:7" x14ac:dyDescent="0.45">
      <c r="A702" s="1">
        <v>45154</v>
      </c>
      <c r="B702" t="s">
        <v>18</v>
      </c>
      <c r="C702" t="s">
        <v>8</v>
      </c>
      <c r="D702" t="s">
        <v>11</v>
      </c>
      <c r="E702">
        <v>103.959356854672</v>
      </c>
      <c r="F702">
        <v>16</v>
      </c>
      <c r="G702">
        <v>28.838205807200701</v>
      </c>
    </row>
    <row r="703" spans="1:7" x14ac:dyDescent="0.45">
      <c r="A703" s="1">
        <v>45118</v>
      </c>
      <c r="B703" t="s">
        <v>13</v>
      </c>
      <c r="C703" t="s">
        <v>19</v>
      </c>
      <c r="D703" t="s">
        <v>11</v>
      </c>
      <c r="E703">
        <v>598.14195276401495</v>
      </c>
      <c r="F703">
        <v>9</v>
      </c>
      <c r="G703">
        <v>30.831798575693799</v>
      </c>
    </row>
    <row r="704" spans="1:7" x14ac:dyDescent="0.45">
      <c r="A704" s="1">
        <v>45071</v>
      </c>
      <c r="B704" t="s">
        <v>7</v>
      </c>
      <c r="C704" t="s">
        <v>16</v>
      </c>
      <c r="D704" t="s">
        <v>20</v>
      </c>
      <c r="E704">
        <v>705.61380379964601</v>
      </c>
      <c r="F704">
        <v>14</v>
      </c>
      <c r="G704">
        <v>178.28806962592799</v>
      </c>
    </row>
    <row r="705" spans="1:7" x14ac:dyDescent="0.45">
      <c r="A705" s="1">
        <v>45127</v>
      </c>
      <c r="B705" t="s">
        <v>18</v>
      </c>
      <c r="C705" t="s">
        <v>19</v>
      </c>
      <c r="D705" t="s">
        <v>20</v>
      </c>
      <c r="E705">
        <v>75.862332128746601</v>
      </c>
      <c r="F705">
        <v>13</v>
      </c>
      <c r="G705">
        <v>21.7794981050533</v>
      </c>
    </row>
    <row r="706" spans="1:7" x14ac:dyDescent="0.45">
      <c r="A706" s="1">
        <v>45138</v>
      </c>
      <c r="B706" t="s">
        <v>12</v>
      </c>
      <c r="C706" t="s">
        <v>15</v>
      </c>
      <c r="D706" t="s">
        <v>17</v>
      </c>
      <c r="E706">
        <v>238.48670738726599</v>
      </c>
      <c r="F706">
        <v>7</v>
      </c>
      <c r="G706">
        <v>17.3693287895968</v>
      </c>
    </row>
    <row r="707" spans="1:7" x14ac:dyDescent="0.45">
      <c r="A707" s="1">
        <v>45146</v>
      </c>
      <c r="B707" t="s">
        <v>12</v>
      </c>
      <c r="C707" t="s">
        <v>10</v>
      </c>
      <c r="D707" t="s">
        <v>11</v>
      </c>
      <c r="E707">
        <v>916.515509939033</v>
      </c>
      <c r="F707">
        <v>15</v>
      </c>
      <c r="G707">
        <v>82.818102570186497</v>
      </c>
    </row>
    <row r="708" spans="1:7" x14ac:dyDescent="0.45">
      <c r="A708" s="1">
        <v>45166</v>
      </c>
      <c r="B708" t="s">
        <v>18</v>
      </c>
      <c r="C708" t="s">
        <v>10</v>
      </c>
      <c r="D708" t="s">
        <v>20</v>
      </c>
      <c r="E708">
        <v>620.15134731056696</v>
      </c>
      <c r="F708">
        <v>7</v>
      </c>
      <c r="G708">
        <v>179.959595887353</v>
      </c>
    </row>
    <row r="709" spans="1:7" x14ac:dyDescent="0.45">
      <c r="A709" s="1">
        <v>44972</v>
      </c>
      <c r="B709" t="s">
        <v>18</v>
      </c>
      <c r="C709" t="s">
        <v>10</v>
      </c>
      <c r="D709" t="s">
        <v>17</v>
      </c>
      <c r="E709">
        <v>253.82315862242601</v>
      </c>
      <c r="F709">
        <v>6</v>
      </c>
      <c r="G709">
        <v>46.801192217407603</v>
      </c>
    </row>
    <row r="710" spans="1:7" x14ac:dyDescent="0.45">
      <c r="A710" s="1">
        <v>44961</v>
      </c>
      <c r="B710" t="s">
        <v>18</v>
      </c>
      <c r="C710" t="s">
        <v>19</v>
      </c>
      <c r="D710" t="s">
        <v>11</v>
      </c>
      <c r="E710">
        <v>693.77297343652594</v>
      </c>
      <c r="F710">
        <v>2</v>
      </c>
      <c r="G710">
        <v>37.150958999386098</v>
      </c>
    </row>
    <row r="711" spans="1:7" x14ac:dyDescent="0.45">
      <c r="A711" s="1">
        <v>45179</v>
      </c>
      <c r="B711" t="s">
        <v>12</v>
      </c>
      <c r="C711" t="s">
        <v>19</v>
      </c>
      <c r="D711" t="s">
        <v>9</v>
      </c>
      <c r="E711">
        <v>600.80865576207202</v>
      </c>
      <c r="F711">
        <v>9</v>
      </c>
      <c r="G711">
        <v>68.737316502706605</v>
      </c>
    </row>
    <row r="712" spans="1:7" x14ac:dyDescent="0.45">
      <c r="A712" s="1">
        <v>45008</v>
      </c>
      <c r="B712" t="s">
        <v>12</v>
      </c>
      <c r="C712" t="s">
        <v>10</v>
      </c>
      <c r="D712" t="s">
        <v>11</v>
      </c>
      <c r="E712">
        <v>506.559942918768</v>
      </c>
      <c r="F712">
        <v>17</v>
      </c>
      <c r="G712">
        <v>82.308857634512094</v>
      </c>
    </row>
    <row r="713" spans="1:7" x14ac:dyDescent="0.45">
      <c r="A713" s="1">
        <v>45182</v>
      </c>
      <c r="B713" t="s">
        <v>18</v>
      </c>
      <c r="C713" t="s">
        <v>19</v>
      </c>
      <c r="D713" t="s">
        <v>11</v>
      </c>
      <c r="E713">
        <v>976.42510523820204</v>
      </c>
      <c r="F713">
        <v>5</v>
      </c>
      <c r="G713">
        <v>217.96466935387099</v>
      </c>
    </row>
    <row r="714" spans="1:7" x14ac:dyDescent="0.45">
      <c r="A714" s="1">
        <v>45123</v>
      </c>
      <c r="B714" t="s">
        <v>14</v>
      </c>
      <c r="C714" t="s">
        <v>8</v>
      </c>
      <c r="D714" t="s">
        <v>20</v>
      </c>
      <c r="E714">
        <v>686.61923963343304</v>
      </c>
      <c r="F714">
        <v>12</v>
      </c>
      <c r="G714">
        <v>160.18146732308401</v>
      </c>
    </row>
    <row r="715" spans="1:7" x14ac:dyDescent="0.45">
      <c r="A715" s="1">
        <v>45229</v>
      </c>
      <c r="B715" t="s">
        <v>14</v>
      </c>
      <c r="C715" t="s">
        <v>8</v>
      </c>
      <c r="D715" t="s">
        <v>17</v>
      </c>
      <c r="E715">
        <v>381.68669857123302</v>
      </c>
      <c r="F715">
        <v>1</v>
      </c>
      <c r="G715">
        <v>114.069122667386</v>
      </c>
    </row>
    <row r="716" spans="1:7" x14ac:dyDescent="0.45">
      <c r="A716" s="1">
        <v>44936</v>
      </c>
      <c r="B716" t="s">
        <v>13</v>
      </c>
      <c r="C716" t="s">
        <v>19</v>
      </c>
      <c r="D716" t="s">
        <v>17</v>
      </c>
      <c r="E716">
        <v>802.07269775609905</v>
      </c>
      <c r="F716">
        <v>10</v>
      </c>
      <c r="G716">
        <v>97.754855719010806</v>
      </c>
    </row>
    <row r="717" spans="1:7" x14ac:dyDescent="0.45">
      <c r="A717" s="1">
        <v>45238</v>
      </c>
      <c r="B717" t="s">
        <v>7</v>
      </c>
      <c r="C717" t="s">
        <v>10</v>
      </c>
      <c r="D717" t="s">
        <v>20</v>
      </c>
      <c r="E717">
        <v>885.73745999197502</v>
      </c>
      <c r="F717">
        <v>11</v>
      </c>
      <c r="G717">
        <v>163.467299486</v>
      </c>
    </row>
    <row r="718" spans="1:7" x14ac:dyDescent="0.45">
      <c r="A718" s="1">
        <v>45212</v>
      </c>
      <c r="B718" t="s">
        <v>14</v>
      </c>
      <c r="C718" t="s">
        <v>19</v>
      </c>
      <c r="D718" t="s">
        <v>11</v>
      </c>
      <c r="E718">
        <v>133.96835392166301</v>
      </c>
      <c r="F718">
        <v>16</v>
      </c>
      <c r="G718">
        <v>24.560537149686301</v>
      </c>
    </row>
    <row r="719" spans="1:7" x14ac:dyDescent="0.45">
      <c r="A719" s="1">
        <v>45168</v>
      </c>
      <c r="B719" t="s">
        <v>12</v>
      </c>
      <c r="C719" t="s">
        <v>19</v>
      </c>
      <c r="D719" t="s">
        <v>9</v>
      </c>
      <c r="E719">
        <v>208.54744806681299</v>
      </c>
      <c r="F719">
        <v>14</v>
      </c>
      <c r="G719">
        <v>31.5764433228711</v>
      </c>
    </row>
    <row r="720" spans="1:7" x14ac:dyDescent="0.45">
      <c r="A720" s="1">
        <v>45177</v>
      </c>
      <c r="B720" t="s">
        <v>14</v>
      </c>
      <c r="C720" t="s">
        <v>19</v>
      </c>
      <c r="D720" t="s">
        <v>11</v>
      </c>
      <c r="E720">
        <v>224.06473903650101</v>
      </c>
      <c r="F720">
        <v>8</v>
      </c>
      <c r="G720">
        <v>20.679040851505601</v>
      </c>
    </row>
    <row r="721" spans="1:7" x14ac:dyDescent="0.45">
      <c r="A721" s="1">
        <v>45291</v>
      </c>
      <c r="B721" t="s">
        <v>13</v>
      </c>
      <c r="C721" t="s">
        <v>15</v>
      </c>
      <c r="D721" t="s">
        <v>11</v>
      </c>
      <c r="E721">
        <v>694.29969129267499</v>
      </c>
      <c r="F721">
        <v>17</v>
      </c>
      <c r="G721">
        <v>204.37693208226801</v>
      </c>
    </row>
    <row r="722" spans="1:7" x14ac:dyDescent="0.45">
      <c r="A722" s="1">
        <v>44931</v>
      </c>
      <c r="B722" t="s">
        <v>13</v>
      </c>
      <c r="C722" t="s">
        <v>8</v>
      </c>
      <c r="D722" t="s">
        <v>9</v>
      </c>
      <c r="E722">
        <v>607.00915950274998</v>
      </c>
      <c r="F722">
        <v>18</v>
      </c>
      <c r="G722">
        <v>159.84329504207099</v>
      </c>
    </row>
    <row r="723" spans="1:7" x14ac:dyDescent="0.45">
      <c r="A723" s="1">
        <v>45045</v>
      </c>
      <c r="B723" t="s">
        <v>7</v>
      </c>
      <c r="C723" t="s">
        <v>16</v>
      </c>
      <c r="D723" t="s">
        <v>20</v>
      </c>
      <c r="E723">
        <v>622.801649051602</v>
      </c>
      <c r="F723">
        <v>12</v>
      </c>
      <c r="G723">
        <v>108.73074040221201</v>
      </c>
    </row>
    <row r="724" spans="1:7" x14ac:dyDescent="0.45">
      <c r="A724" s="1">
        <v>45215</v>
      </c>
      <c r="B724" t="s">
        <v>14</v>
      </c>
      <c r="C724" t="s">
        <v>16</v>
      </c>
      <c r="D724" t="s">
        <v>17</v>
      </c>
      <c r="E724">
        <v>941.36556669260597</v>
      </c>
      <c r="F724">
        <v>17</v>
      </c>
      <c r="G724">
        <v>189.03689562954801</v>
      </c>
    </row>
    <row r="725" spans="1:7" x14ac:dyDescent="0.45">
      <c r="A725" s="1">
        <v>44991</v>
      </c>
      <c r="B725" t="s">
        <v>12</v>
      </c>
      <c r="C725" t="s">
        <v>15</v>
      </c>
      <c r="D725" t="s">
        <v>20</v>
      </c>
      <c r="E725">
        <v>778.15241747923199</v>
      </c>
      <c r="F725">
        <v>14</v>
      </c>
      <c r="G725">
        <v>83.118555430543793</v>
      </c>
    </row>
    <row r="726" spans="1:7" x14ac:dyDescent="0.45">
      <c r="A726" s="1">
        <v>45072</v>
      </c>
      <c r="B726" t="s">
        <v>12</v>
      </c>
      <c r="C726" t="s">
        <v>19</v>
      </c>
      <c r="D726" t="s">
        <v>20</v>
      </c>
      <c r="E726">
        <v>136.65755526666501</v>
      </c>
      <c r="F726">
        <v>16</v>
      </c>
      <c r="G726">
        <v>25.411030669672801</v>
      </c>
    </row>
    <row r="727" spans="1:7" x14ac:dyDescent="0.45">
      <c r="A727" s="1">
        <v>45150</v>
      </c>
      <c r="B727" t="s">
        <v>18</v>
      </c>
      <c r="C727" t="s">
        <v>15</v>
      </c>
      <c r="D727" t="s">
        <v>11</v>
      </c>
      <c r="E727">
        <v>354.03201160092902</v>
      </c>
      <c r="F727">
        <v>14</v>
      </c>
      <c r="G727">
        <v>79.212019137936807</v>
      </c>
    </row>
    <row r="728" spans="1:7" x14ac:dyDescent="0.45">
      <c r="A728" s="1">
        <v>45165</v>
      </c>
      <c r="B728" t="s">
        <v>12</v>
      </c>
      <c r="C728" t="s">
        <v>15</v>
      </c>
      <c r="D728" t="s">
        <v>17</v>
      </c>
      <c r="E728">
        <v>441.03970971397803</v>
      </c>
      <c r="F728">
        <v>9</v>
      </c>
      <c r="G728">
        <v>78.854264649157301</v>
      </c>
    </row>
    <row r="729" spans="1:7" x14ac:dyDescent="0.45">
      <c r="A729" s="1">
        <v>45103</v>
      </c>
      <c r="B729" t="s">
        <v>7</v>
      </c>
      <c r="C729" t="s">
        <v>10</v>
      </c>
      <c r="D729" t="s">
        <v>17</v>
      </c>
      <c r="E729">
        <v>402.00197286012798</v>
      </c>
      <c r="F729">
        <v>4</v>
      </c>
      <c r="G729">
        <v>119.624246710325</v>
      </c>
    </row>
    <row r="730" spans="1:7" x14ac:dyDescent="0.45">
      <c r="A730" s="1">
        <v>45193</v>
      </c>
      <c r="B730" t="s">
        <v>7</v>
      </c>
      <c r="C730" t="s">
        <v>8</v>
      </c>
      <c r="D730" t="s">
        <v>20</v>
      </c>
      <c r="E730">
        <v>672.61552307026</v>
      </c>
      <c r="F730">
        <v>11</v>
      </c>
      <c r="G730">
        <v>136.43024812643799</v>
      </c>
    </row>
    <row r="731" spans="1:7" x14ac:dyDescent="0.45">
      <c r="A731" s="1">
        <v>45267</v>
      </c>
      <c r="B731" t="s">
        <v>12</v>
      </c>
      <c r="C731" t="s">
        <v>16</v>
      </c>
      <c r="D731" t="s">
        <v>9</v>
      </c>
      <c r="E731">
        <v>892.97417222399599</v>
      </c>
      <c r="F731">
        <v>6</v>
      </c>
      <c r="G731">
        <v>127.46619459091301</v>
      </c>
    </row>
    <row r="732" spans="1:7" x14ac:dyDescent="0.45">
      <c r="A732" s="1">
        <v>45208</v>
      </c>
      <c r="B732" t="s">
        <v>12</v>
      </c>
      <c r="C732" t="s">
        <v>19</v>
      </c>
      <c r="D732" t="s">
        <v>20</v>
      </c>
      <c r="E732">
        <v>312.99094888756002</v>
      </c>
      <c r="F732">
        <v>15</v>
      </c>
      <c r="G732">
        <v>76.0686963966116</v>
      </c>
    </row>
    <row r="733" spans="1:7" x14ac:dyDescent="0.45">
      <c r="A733" s="1">
        <v>44989</v>
      </c>
      <c r="B733" t="s">
        <v>18</v>
      </c>
      <c r="C733" t="s">
        <v>16</v>
      </c>
      <c r="D733" t="s">
        <v>9</v>
      </c>
      <c r="E733">
        <v>556.35836505697296</v>
      </c>
      <c r="F733">
        <v>5</v>
      </c>
      <c r="G733">
        <v>51.527479314615597</v>
      </c>
    </row>
    <row r="734" spans="1:7" x14ac:dyDescent="0.45">
      <c r="A734" s="1">
        <v>45143</v>
      </c>
      <c r="B734" t="s">
        <v>12</v>
      </c>
      <c r="C734" t="s">
        <v>16</v>
      </c>
      <c r="D734" t="s">
        <v>17</v>
      </c>
      <c r="E734">
        <v>791.51532769444896</v>
      </c>
      <c r="F734">
        <v>11</v>
      </c>
      <c r="G734">
        <v>115.663306457075</v>
      </c>
    </row>
    <row r="735" spans="1:7" x14ac:dyDescent="0.45">
      <c r="A735" s="1">
        <v>45268</v>
      </c>
      <c r="B735" t="s">
        <v>18</v>
      </c>
      <c r="C735" t="s">
        <v>8</v>
      </c>
      <c r="D735" t="s">
        <v>20</v>
      </c>
      <c r="E735">
        <v>422.05587825689503</v>
      </c>
      <c r="F735">
        <v>18</v>
      </c>
      <c r="G735">
        <v>57.7118100430204</v>
      </c>
    </row>
    <row r="736" spans="1:7" x14ac:dyDescent="0.45">
      <c r="A736" s="1">
        <v>45241</v>
      </c>
      <c r="B736" t="s">
        <v>18</v>
      </c>
      <c r="C736" t="s">
        <v>16</v>
      </c>
      <c r="D736" t="s">
        <v>11</v>
      </c>
      <c r="E736">
        <v>176.43694711530199</v>
      </c>
      <c r="F736">
        <v>13</v>
      </c>
      <c r="G736">
        <v>27.868528756650999</v>
      </c>
    </row>
    <row r="737" spans="1:7" x14ac:dyDescent="0.45">
      <c r="A737" s="1">
        <v>45209</v>
      </c>
      <c r="B737" t="s">
        <v>12</v>
      </c>
      <c r="C737" t="s">
        <v>16</v>
      </c>
      <c r="D737" t="s">
        <v>20</v>
      </c>
      <c r="E737">
        <v>480.20145561111002</v>
      </c>
      <c r="F737">
        <v>11</v>
      </c>
      <c r="G737">
        <v>117.86302537514899</v>
      </c>
    </row>
    <row r="738" spans="1:7" x14ac:dyDescent="0.45">
      <c r="A738" s="1">
        <v>45103</v>
      </c>
      <c r="B738" t="s">
        <v>13</v>
      </c>
      <c r="C738" t="s">
        <v>15</v>
      </c>
      <c r="D738" t="s">
        <v>17</v>
      </c>
      <c r="E738">
        <v>64.6702955355981</v>
      </c>
      <c r="F738">
        <v>14</v>
      </c>
      <c r="G738">
        <v>11.061418046873399</v>
      </c>
    </row>
    <row r="739" spans="1:7" x14ac:dyDescent="0.45">
      <c r="A739" s="1">
        <v>45024</v>
      </c>
      <c r="B739" t="s">
        <v>13</v>
      </c>
      <c r="C739" t="s">
        <v>8</v>
      </c>
      <c r="D739" t="s">
        <v>11</v>
      </c>
      <c r="E739">
        <v>942.95961946225395</v>
      </c>
      <c r="F739">
        <v>18</v>
      </c>
      <c r="G739">
        <v>234.32887194069301</v>
      </c>
    </row>
    <row r="740" spans="1:7" x14ac:dyDescent="0.45">
      <c r="A740" s="1">
        <v>45031</v>
      </c>
      <c r="B740" t="s">
        <v>18</v>
      </c>
      <c r="C740" t="s">
        <v>10</v>
      </c>
      <c r="D740" t="s">
        <v>11</v>
      </c>
      <c r="E740">
        <v>84.072993143023297</v>
      </c>
      <c r="F740">
        <v>19</v>
      </c>
      <c r="G740">
        <v>16.320436557327898</v>
      </c>
    </row>
    <row r="741" spans="1:7" x14ac:dyDescent="0.45">
      <c r="A741" s="1">
        <v>45025</v>
      </c>
      <c r="B741" t="s">
        <v>12</v>
      </c>
      <c r="C741" t="s">
        <v>19</v>
      </c>
      <c r="D741" t="s">
        <v>9</v>
      </c>
      <c r="E741">
        <v>444.07214809807198</v>
      </c>
      <c r="F741">
        <v>15</v>
      </c>
      <c r="G741">
        <v>60.179484566672002</v>
      </c>
    </row>
    <row r="742" spans="1:7" x14ac:dyDescent="0.45">
      <c r="A742" s="1">
        <v>45237</v>
      </c>
      <c r="B742" t="s">
        <v>13</v>
      </c>
      <c r="C742" t="s">
        <v>16</v>
      </c>
      <c r="D742" t="s">
        <v>11</v>
      </c>
      <c r="E742">
        <v>534.58244847764001</v>
      </c>
      <c r="F742">
        <v>9</v>
      </c>
      <c r="G742">
        <v>134.97922742717</v>
      </c>
    </row>
    <row r="743" spans="1:7" x14ac:dyDescent="0.45">
      <c r="A743" s="1">
        <v>44932</v>
      </c>
      <c r="B743" t="s">
        <v>12</v>
      </c>
      <c r="C743" t="s">
        <v>19</v>
      </c>
      <c r="D743" t="s">
        <v>11</v>
      </c>
      <c r="E743">
        <v>985.45079396441201</v>
      </c>
      <c r="F743">
        <v>8</v>
      </c>
      <c r="G743">
        <v>107.978225958236</v>
      </c>
    </row>
    <row r="744" spans="1:7" x14ac:dyDescent="0.45">
      <c r="A744" s="1">
        <v>45123</v>
      </c>
      <c r="B744" t="s">
        <v>12</v>
      </c>
      <c r="C744" t="s">
        <v>10</v>
      </c>
      <c r="D744" t="s">
        <v>20</v>
      </c>
      <c r="E744">
        <v>174.36160540643201</v>
      </c>
      <c r="F744">
        <v>1</v>
      </c>
      <c r="G744">
        <v>18.499024416264401</v>
      </c>
    </row>
    <row r="745" spans="1:7" x14ac:dyDescent="0.45">
      <c r="A745" s="1">
        <v>45277</v>
      </c>
      <c r="B745" t="s">
        <v>12</v>
      </c>
      <c r="C745" t="s">
        <v>19</v>
      </c>
      <c r="D745" t="s">
        <v>17</v>
      </c>
      <c r="E745">
        <v>123.287203426234</v>
      </c>
      <c r="F745">
        <v>4</v>
      </c>
      <c r="G745">
        <v>21.714048828081399</v>
      </c>
    </row>
    <row r="746" spans="1:7" x14ac:dyDescent="0.45">
      <c r="A746" s="1">
        <v>45059</v>
      </c>
      <c r="B746" t="s">
        <v>14</v>
      </c>
      <c r="C746" t="s">
        <v>10</v>
      </c>
      <c r="D746" t="s">
        <v>9</v>
      </c>
      <c r="E746">
        <v>18.6190855919181</v>
      </c>
      <c r="F746">
        <v>14</v>
      </c>
      <c r="G746">
        <v>2.1451478888847602</v>
      </c>
    </row>
    <row r="747" spans="1:7" x14ac:dyDescent="0.45">
      <c r="A747" s="1">
        <v>45284</v>
      </c>
      <c r="B747" t="s">
        <v>12</v>
      </c>
      <c r="C747" t="s">
        <v>15</v>
      </c>
      <c r="D747" t="s">
        <v>20</v>
      </c>
      <c r="E747">
        <v>164.015722500609</v>
      </c>
      <c r="F747">
        <v>2</v>
      </c>
      <c r="G747">
        <v>8.5733902757584701</v>
      </c>
    </row>
    <row r="748" spans="1:7" x14ac:dyDescent="0.45">
      <c r="A748" s="1">
        <v>45185</v>
      </c>
      <c r="B748" t="s">
        <v>14</v>
      </c>
      <c r="C748" t="s">
        <v>16</v>
      </c>
      <c r="D748" t="s">
        <v>11</v>
      </c>
      <c r="E748">
        <v>215.20024927699001</v>
      </c>
      <c r="F748">
        <v>16</v>
      </c>
      <c r="G748">
        <v>45.638459833939201</v>
      </c>
    </row>
    <row r="749" spans="1:7" x14ac:dyDescent="0.45">
      <c r="A749" s="1">
        <v>44949</v>
      </c>
      <c r="B749" t="s">
        <v>18</v>
      </c>
      <c r="C749" t="s">
        <v>10</v>
      </c>
      <c r="D749" t="s">
        <v>11</v>
      </c>
      <c r="E749">
        <v>634.27513216726095</v>
      </c>
      <c r="F749">
        <v>3</v>
      </c>
      <c r="G749">
        <v>112.757281899432</v>
      </c>
    </row>
    <row r="750" spans="1:7" x14ac:dyDescent="0.45">
      <c r="A750" s="1">
        <v>44979</v>
      </c>
      <c r="B750" t="s">
        <v>13</v>
      </c>
      <c r="C750" t="s">
        <v>19</v>
      </c>
      <c r="D750" t="s">
        <v>9</v>
      </c>
      <c r="E750">
        <v>227.50972248748599</v>
      </c>
      <c r="F750">
        <v>8</v>
      </c>
      <c r="G750">
        <v>36.715394709016898</v>
      </c>
    </row>
    <row r="751" spans="1:7" x14ac:dyDescent="0.45">
      <c r="A751" s="1">
        <v>45091</v>
      </c>
      <c r="B751" t="s">
        <v>13</v>
      </c>
      <c r="C751" t="s">
        <v>16</v>
      </c>
      <c r="D751" t="s">
        <v>17</v>
      </c>
      <c r="E751">
        <v>30.315606582031901</v>
      </c>
      <c r="F751">
        <v>6</v>
      </c>
      <c r="G751">
        <v>8.8443395956967592</v>
      </c>
    </row>
    <row r="752" spans="1:7" x14ac:dyDescent="0.45">
      <c r="A752" s="1">
        <v>45128</v>
      </c>
      <c r="B752" t="s">
        <v>13</v>
      </c>
      <c r="C752" t="s">
        <v>15</v>
      </c>
      <c r="D752" t="s">
        <v>9</v>
      </c>
      <c r="E752">
        <v>828.35216204746303</v>
      </c>
      <c r="F752">
        <v>16</v>
      </c>
      <c r="G752">
        <v>159.70612785122901</v>
      </c>
    </row>
    <row r="753" spans="1:7" x14ac:dyDescent="0.45">
      <c r="A753" s="1">
        <v>45009</v>
      </c>
      <c r="B753" t="s">
        <v>13</v>
      </c>
      <c r="C753" t="s">
        <v>16</v>
      </c>
      <c r="D753" t="s">
        <v>20</v>
      </c>
      <c r="E753">
        <v>371.93974399392698</v>
      </c>
      <c r="F753">
        <v>16</v>
      </c>
      <c r="G753">
        <v>98.883117199510394</v>
      </c>
    </row>
    <row r="754" spans="1:7" x14ac:dyDescent="0.45">
      <c r="A754" s="1">
        <v>45071</v>
      </c>
      <c r="B754" t="s">
        <v>13</v>
      </c>
      <c r="C754" t="s">
        <v>10</v>
      </c>
      <c r="D754" t="s">
        <v>9</v>
      </c>
      <c r="E754">
        <v>360.15971971492598</v>
      </c>
      <c r="F754">
        <v>7</v>
      </c>
      <c r="G754">
        <v>30.564075482204</v>
      </c>
    </row>
    <row r="755" spans="1:7" x14ac:dyDescent="0.45">
      <c r="A755" s="1">
        <v>45011</v>
      </c>
      <c r="B755" t="s">
        <v>13</v>
      </c>
      <c r="C755" t="s">
        <v>15</v>
      </c>
      <c r="D755" t="s">
        <v>11</v>
      </c>
      <c r="E755">
        <v>309.45423887624702</v>
      </c>
      <c r="F755">
        <v>13</v>
      </c>
      <c r="G755">
        <v>59.508550146601799</v>
      </c>
    </row>
    <row r="756" spans="1:7" x14ac:dyDescent="0.45">
      <c r="A756" s="1">
        <v>45004</v>
      </c>
      <c r="B756" t="s">
        <v>13</v>
      </c>
      <c r="C756" t="s">
        <v>19</v>
      </c>
      <c r="D756" t="s">
        <v>20</v>
      </c>
      <c r="E756">
        <v>975.61954437495604</v>
      </c>
      <c r="F756">
        <v>13</v>
      </c>
      <c r="G756">
        <v>260.485449208234</v>
      </c>
    </row>
    <row r="757" spans="1:7" x14ac:dyDescent="0.45">
      <c r="A757" s="1">
        <v>44927</v>
      </c>
      <c r="B757" t="s">
        <v>18</v>
      </c>
      <c r="C757" t="s">
        <v>15</v>
      </c>
      <c r="D757" t="s">
        <v>11</v>
      </c>
      <c r="E757">
        <v>178.414263136188</v>
      </c>
      <c r="F757">
        <v>5</v>
      </c>
      <c r="G757">
        <v>34.929309160700001</v>
      </c>
    </row>
    <row r="758" spans="1:7" x14ac:dyDescent="0.45">
      <c r="A758" s="1">
        <v>44977</v>
      </c>
      <c r="B758" t="s">
        <v>12</v>
      </c>
      <c r="C758" t="s">
        <v>15</v>
      </c>
      <c r="D758" t="s">
        <v>17</v>
      </c>
      <c r="E758">
        <v>899.25568331370198</v>
      </c>
      <c r="F758">
        <v>18</v>
      </c>
      <c r="G758">
        <v>206.38236676081499</v>
      </c>
    </row>
    <row r="759" spans="1:7" x14ac:dyDescent="0.45">
      <c r="A759" s="1">
        <v>45099</v>
      </c>
      <c r="B759" t="s">
        <v>7</v>
      </c>
      <c r="C759" t="s">
        <v>8</v>
      </c>
      <c r="D759" t="s">
        <v>11</v>
      </c>
      <c r="E759">
        <v>779.03529881848897</v>
      </c>
      <c r="F759">
        <v>15</v>
      </c>
      <c r="G759">
        <v>111.410532946944</v>
      </c>
    </row>
    <row r="760" spans="1:7" x14ac:dyDescent="0.45">
      <c r="A760" s="1">
        <v>45131</v>
      </c>
      <c r="B760" t="s">
        <v>14</v>
      </c>
      <c r="C760" t="s">
        <v>15</v>
      </c>
      <c r="D760" t="s">
        <v>11</v>
      </c>
      <c r="E760">
        <v>85.715155944319903</v>
      </c>
      <c r="F760">
        <v>18</v>
      </c>
      <c r="G760">
        <v>6.2668389896683001</v>
      </c>
    </row>
    <row r="761" spans="1:7" x14ac:dyDescent="0.45">
      <c r="A761" s="1">
        <v>45186</v>
      </c>
      <c r="B761" t="s">
        <v>7</v>
      </c>
      <c r="C761" t="s">
        <v>15</v>
      </c>
      <c r="D761" t="s">
        <v>9</v>
      </c>
      <c r="E761">
        <v>986.86181048584001</v>
      </c>
      <c r="F761">
        <v>2</v>
      </c>
      <c r="G761">
        <v>162.314169092067</v>
      </c>
    </row>
    <row r="762" spans="1:7" x14ac:dyDescent="0.45">
      <c r="A762" s="1">
        <v>45214</v>
      </c>
      <c r="B762" t="s">
        <v>7</v>
      </c>
      <c r="C762" t="s">
        <v>16</v>
      </c>
      <c r="D762" t="s">
        <v>11</v>
      </c>
      <c r="E762">
        <v>278.65230390362001</v>
      </c>
      <c r="F762">
        <v>10</v>
      </c>
      <c r="G762">
        <v>41.413262970117103</v>
      </c>
    </row>
    <row r="763" spans="1:7" x14ac:dyDescent="0.45">
      <c r="A763" s="1">
        <v>44960</v>
      </c>
      <c r="B763" t="s">
        <v>12</v>
      </c>
      <c r="C763" t="s">
        <v>19</v>
      </c>
      <c r="D763" t="s">
        <v>20</v>
      </c>
      <c r="E763">
        <v>107.59709775218801</v>
      </c>
      <c r="F763">
        <v>13</v>
      </c>
      <c r="G763">
        <v>28.7031446877238</v>
      </c>
    </row>
    <row r="764" spans="1:7" x14ac:dyDescent="0.45">
      <c r="A764" s="1">
        <v>45274</v>
      </c>
      <c r="B764" t="s">
        <v>12</v>
      </c>
      <c r="C764" t="s">
        <v>16</v>
      </c>
      <c r="D764" t="s">
        <v>20</v>
      </c>
      <c r="E764">
        <v>831.02109178450098</v>
      </c>
      <c r="F764">
        <v>18</v>
      </c>
      <c r="G764">
        <v>92.242365227035293</v>
      </c>
    </row>
    <row r="765" spans="1:7" x14ac:dyDescent="0.45">
      <c r="A765" s="1">
        <v>45021</v>
      </c>
      <c r="B765" t="s">
        <v>12</v>
      </c>
      <c r="C765" t="s">
        <v>16</v>
      </c>
      <c r="D765" t="s">
        <v>17</v>
      </c>
      <c r="E765">
        <v>709.60877834092196</v>
      </c>
      <c r="F765">
        <v>15</v>
      </c>
      <c r="G765">
        <v>206.98121246243201</v>
      </c>
    </row>
    <row r="766" spans="1:7" x14ac:dyDescent="0.45">
      <c r="A766" s="1">
        <v>44998</v>
      </c>
      <c r="B766" t="s">
        <v>13</v>
      </c>
      <c r="C766" t="s">
        <v>10</v>
      </c>
      <c r="D766" t="s">
        <v>20</v>
      </c>
      <c r="E766">
        <v>621.04661781912102</v>
      </c>
      <c r="F766">
        <v>12</v>
      </c>
      <c r="G766">
        <v>179.81444056799401</v>
      </c>
    </row>
    <row r="767" spans="1:7" x14ac:dyDescent="0.45">
      <c r="A767" s="1">
        <v>44965</v>
      </c>
      <c r="B767" t="s">
        <v>18</v>
      </c>
      <c r="C767" t="s">
        <v>16</v>
      </c>
      <c r="D767" t="s">
        <v>9</v>
      </c>
      <c r="E767">
        <v>164.42105506194301</v>
      </c>
      <c r="F767">
        <v>15</v>
      </c>
      <c r="G767">
        <v>18.400016758229299</v>
      </c>
    </row>
    <row r="768" spans="1:7" x14ac:dyDescent="0.45">
      <c r="A768" s="1">
        <v>45080</v>
      </c>
      <c r="B768" t="s">
        <v>13</v>
      </c>
      <c r="C768" t="s">
        <v>8</v>
      </c>
      <c r="D768" t="s">
        <v>17</v>
      </c>
      <c r="E768">
        <v>483.711155093402</v>
      </c>
      <c r="F768">
        <v>13</v>
      </c>
      <c r="G768">
        <v>66.274711108783094</v>
      </c>
    </row>
    <row r="769" spans="1:7" x14ac:dyDescent="0.45">
      <c r="A769" s="1">
        <v>45176</v>
      </c>
      <c r="B769" t="s">
        <v>18</v>
      </c>
      <c r="C769" t="s">
        <v>8</v>
      </c>
      <c r="D769" t="s">
        <v>20</v>
      </c>
      <c r="E769">
        <v>782.75046661834097</v>
      </c>
      <c r="F769">
        <v>18</v>
      </c>
      <c r="G769">
        <v>214.38669184385901</v>
      </c>
    </row>
    <row r="770" spans="1:7" x14ac:dyDescent="0.45">
      <c r="A770" s="1">
        <v>45088</v>
      </c>
      <c r="B770" t="s">
        <v>18</v>
      </c>
      <c r="C770" t="s">
        <v>10</v>
      </c>
      <c r="D770" t="s">
        <v>9</v>
      </c>
      <c r="E770">
        <v>310.58769876240098</v>
      </c>
      <c r="F770">
        <v>15</v>
      </c>
      <c r="G770">
        <v>90.584627728301101</v>
      </c>
    </row>
    <row r="771" spans="1:7" x14ac:dyDescent="0.45">
      <c r="A771" s="1">
        <v>45044</v>
      </c>
      <c r="B771" t="s">
        <v>7</v>
      </c>
      <c r="C771" t="s">
        <v>19</v>
      </c>
      <c r="D771" t="s">
        <v>20</v>
      </c>
      <c r="E771">
        <v>318.57293022989103</v>
      </c>
      <c r="F771">
        <v>11</v>
      </c>
      <c r="G771">
        <v>51.245570103742601</v>
      </c>
    </row>
    <row r="772" spans="1:7" x14ac:dyDescent="0.45">
      <c r="A772" s="1">
        <v>45185</v>
      </c>
      <c r="B772" t="s">
        <v>7</v>
      </c>
      <c r="C772" t="s">
        <v>19</v>
      </c>
      <c r="D772" t="s">
        <v>20</v>
      </c>
      <c r="E772">
        <v>13.109496987640799</v>
      </c>
      <c r="F772">
        <v>19</v>
      </c>
      <c r="G772">
        <v>1.70750230009978</v>
      </c>
    </row>
    <row r="773" spans="1:7" x14ac:dyDescent="0.45">
      <c r="A773" s="1">
        <v>45232</v>
      </c>
      <c r="B773" t="s">
        <v>18</v>
      </c>
      <c r="C773" t="s">
        <v>16</v>
      </c>
      <c r="D773" t="s">
        <v>11</v>
      </c>
      <c r="E773">
        <v>182.500967628925</v>
      </c>
      <c r="F773">
        <v>3</v>
      </c>
      <c r="G773">
        <v>33.1282150019941</v>
      </c>
    </row>
    <row r="774" spans="1:7" x14ac:dyDescent="0.45">
      <c r="A774" s="1">
        <v>45194</v>
      </c>
      <c r="B774" t="s">
        <v>18</v>
      </c>
      <c r="C774" t="s">
        <v>16</v>
      </c>
      <c r="D774" t="s">
        <v>20</v>
      </c>
      <c r="E774">
        <v>876.65156887061596</v>
      </c>
      <c r="F774">
        <v>7</v>
      </c>
      <c r="G774">
        <v>194.56606688888499</v>
      </c>
    </row>
    <row r="775" spans="1:7" x14ac:dyDescent="0.45">
      <c r="A775" s="1">
        <v>44980</v>
      </c>
      <c r="B775" t="s">
        <v>13</v>
      </c>
      <c r="C775" t="s">
        <v>16</v>
      </c>
      <c r="D775" t="s">
        <v>20</v>
      </c>
      <c r="E775">
        <v>447.32902672133002</v>
      </c>
      <c r="F775">
        <v>14</v>
      </c>
      <c r="G775">
        <v>52.949723535010698</v>
      </c>
    </row>
    <row r="776" spans="1:7" x14ac:dyDescent="0.45">
      <c r="A776" s="1">
        <v>45162</v>
      </c>
      <c r="B776" t="s">
        <v>13</v>
      </c>
      <c r="C776" t="s">
        <v>19</v>
      </c>
      <c r="D776" t="s">
        <v>9</v>
      </c>
      <c r="E776">
        <v>984.39215424208896</v>
      </c>
      <c r="F776">
        <v>14</v>
      </c>
      <c r="G776">
        <v>230.464211438299</v>
      </c>
    </row>
    <row r="777" spans="1:7" x14ac:dyDescent="0.45">
      <c r="A777" s="1">
        <v>45148</v>
      </c>
      <c r="B777" t="s">
        <v>7</v>
      </c>
      <c r="C777" t="s">
        <v>15</v>
      </c>
      <c r="D777" t="s">
        <v>9</v>
      </c>
      <c r="E777">
        <v>401.75088393805402</v>
      </c>
      <c r="F777">
        <v>13</v>
      </c>
      <c r="G777">
        <v>25.2758914175804</v>
      </c>
    </row>
    <row r="778" spans="1:7" x14ac:dyDescent="0.45">
      <c r="A778" s="1">
        <v>45177</v>
      </c>
      <c r="B778" t="s">
        <v>12</v>
      </c>
      <c r="C778" t="s">
        <v>8</v>
      </c>
      <c r="D778" t="s">
        <v>11</v>
      </c>
      <c r="E778">
        <v>718.03459023243795</v>
      </c>
      <c r="F778">
        <v>12</v>
      </c>
      <c r="G778">
        <v>44.750517239825299</v>
      </c>
    </row>
    <row r="779" spans="1:7" x14ac:dyDescent="0.45">
      <c r="A779" s="1">
        <v>45239</v>
      </c>
      <c r="B779" t="s">
        <v>18</v>
      </c>
      <c r="C779" t="s">
        <v>15</v>
      </c>
      <c r="D779" t="s">
        <v>20</v>
      </c>
      <c r="E779">
        <v>289.09985247568102</v>
      </c>
      <c r="F779">
        <v>9</v>
      </c>
      <c r="G779">
        <v>42.3739222664707</v>
      </c>
    </row>
    <row r="780" spans="1:7" x14ac:dyDescent="0.45">
      <c r="A780" s="1">
        <v>45038</v>
      </c>
      <c r="B780" t="s">
        <v>13</v>
      </c>
      <c r="C780" t="s">
        <v>15</v>
      </c>
      <c r="D780" t="s">
        <v>11</v>
      </c>
      <c r="E780">
        <v>370.17154472952399</v>
      </c>
      <c r="F780">
        <v>1</v>
      </c>
      <c r="G780">
        <v>51.220006617874297</v>
      </c>
    </row>
    <row r="781" spans="1:7" x14ac:dyDescent="0.45">
      <c r="A781" s="1">
        <v>45181</v>
      </c>
      <c r="B781" t="s">
        <v>7</v>
      </c>
      <c r="C781" t="s">
        <v>19</v>
      </c>
      <c r="D781" t="s">
        <v>20</v>
      </c>
      <c r="E781">
        <v>198.81872771498499</v>
      </c>
      <c r="F781">
        <v>19</v>
      </c>
      <c r="G781">
        <v>25.629384961721101</v>
      </c>
    </row>
    <row r="782" spans="1:7" x14ac:dyDescent="0.45">
      <c r="A782" s="1">
        <v>45229</v>
      </c>
      <c r="B782" t="s">
        <v>13</v>
      </c>
      <c r="C782" t="s">
        <v>15</v>
      </c>
      <c r="D782" t="s">
        <v>17</v>
      </c>
      <c r="E782">
        <v>353.59174481440101</v>
      </c>
      <c r="F782">
        <v>11</v>
      </c>
      <c r="G782">
        <v>61.0847208958333</v>
      </c>
    </row>
    <row r="783" spans="1:7" x14ac:dyDescent="0.45">
      <c r="A783" s="1">
        <v>45133</v>
      </c>
      <c r="B783" t="s">
        <v>18</v>
      </c>
      <c r="C783" t="s">
        <v>10</v>
      </c>
      <c r="D783" t="s">
        <v>17</v>
      </c>
      <c r="E783">
        <v>551.76514521643605</v>
      </c>
      <c r="F783">
        <v>19</v>
      </c>
      <c r="G783">
        <v>71.830660165804801</v>
      </c>
    </row>
    <row r="784" spans="1:7" x14ac:dyDescent="0.45">
      <c r="A784" s="1">
        <v>45155</v>
      </c>
      <c r="B784" t="s">
        <v>18</v>
      </c>
      <c r="C784" t="s">
        <v>16</v>
      </c>
      <c r="D784" t="s">
        <v>11</v>
      </c>
      <c r="E784">
        <v>991.85515216945601</v>
      </c>
      <c r="F784">
        <v>18</v>
      </c>
      <c r="G784">
        <v>97.265759352960899</v>
      </c>
    </row>
    <row r="785" spans="1:7" x14ac:dyDescent="0.45">
      <c r="A785" s="1">
        <v>45267</v>
      </c>
      <c r="B785" t="s">
        <v>14</v>
      </c>
      <c r="C785" t="s">
        <v>10</v>
      </c>
      <c r="D785" t="s">
        <v>11</v>
      </c>
      <c r="E785">
        <v>667.55969594106705</v>
      </c>
      <c r="F785">
        <v>12</v>
      </c>
      <c r="G785">
        <v>85.025334320204806</v>
      </c>
    </row>
    <row r="786" spans="1:7" x14ac:dyDescent="0.45">
      <c r="A786" s="1">
        <v>44992</v>
      </c>
      <c r="B786" t="s">
        <v>12</v>
      </c>
      <c r="C786" t="s">
        <v>8</v>
      </c>
      <c r="D786" t="s">
        <v>11</v>
      </c>
      <c r="E786">
        <v>207.25349486422999</v>
      </c>
      <c r="F786">
        <v>1</v>
      </c>
      <c r="G786">
        <v>60.875754167709701</v>
      </c>
    </row>
    <row r="787" spans="1:7" x14ac:dyDescent="0.45">
      <c r="A787" s="1">
        <v>45001</v>
      </c>
      <c r="B787" t="s">
        <v>14</v>
      </c>
      <c r="C787" t="s">
        <v>16</v>
      </c>
      <c r="D787" t="s">
        <v>9</v>
      </c>
      <c r="E787">
        <v>54.511827175635602</v>
      </c>
      <c r="F787">
        <v>19</v>
      </c>
      <c r="G787">
        <v>8.3282272429838304</v>
      </c>
    </row>
    <row r="788" spans="1:7" x14ac:dyDescent="0.45">
      <c r="A788" s="1">
        <v>45029</v>
      </c>
      <c r="B788" t="s">
        <v>7</v>
      </c>
      <c r="C788" t="s">
        <v>15</v>
      </c>
      <c r="D788" t="s">
        <v>9</v>
      </c>
      <c r="E788">
        <v>135.09291650136501</v>
      </c>
      <c r="F788">
        <v>17</v>
      </c>
      <c r="G788">
        <v>21.774032332871599</v>
      </c>
    </row>
    <row r="789" spans="1:7" x14ac:dyDescent="0.45">
      <c r="A789" s="1">
        <v>45118</v>
      </c>
      <c r="B789" t="s">
        <v>13</v>
      </c>
      <c r="C789" t="s">
        <v>8</v>
      </c>
      <c r="D789" t="s">
        <v>9</v>
      </c>
      <c r="E789">
        <v>566.92964926031595</v>
      </c>
      <c r="F789">
        <v>5</v>
      </c>
      <c r="G789">
        <v>110.06159469696399</v>
      </c>
    </row>
    <row r="790" spans="1:7" x14ac:dyDescent="0.45">
      <c r="A790" s="1">
        <v>45178</v>
      </c>
      <c r="B790" t="s">
        <v>7</v>
      </c>
      <c r="C790" t="s">
        <v>16</v>
      </c>
      <c r="D790" t="s">
        <v>11</v>
      </c>
      <c r="E790">
        <v>767.50872552859801</v>
      </c>
      <c r="F790">
        <v>3</v>
      </c>
      <c r="G790">
        <v>227.05609125790801</v>
      </c>
    </row>
    <row r="791" spans="1:7" x14ac:dyDescent="0.45">
      <c r="A791" s="1">
        <v>45152</v>
      </c>
      <c r="B791" t="s">
        <v>18</v>
      </c>
      <c r="C791" t="s">
        <v>15</v>
      </c>
      <c r="D791" t="s">
        <v>20</v>
      </c>
      <c r="E791">
        <v>941.01501522773901</v>
      </c>
      <c r="F791">
        <v>2</v>
      </c>
      <c r="G791">
        <v>103.88835796744701</v>
      </c>
    </row>
    <row r="792" spans="1:7" x14ac:dyDescent="0.45">
      <c r="A792" s="1">
        <v>45220</v>
      </c>
      <c r="B792" t="s">
        <v>14</v>
      </c>
      <c r="C792" t="s">
        <v>10</v>
      </c>
      <c r="D792" t="s">
        <v>17</v>
      </c>
      <c r="E792">
        <v>25.664940276852601</v>
      </c>
      <c r="F792">
        <v>3</v>
      </c>
      <c r="G792">
        <v>5.6545131834683797</v>
      </c>
    </row>
    <row r="793" spans="1:7" x14ac:dyDescent="0.45">
      <c r="A793" s="1">
        <v>45232</v>
      </c>
      <c r="B793" t="s">
        <v>14</v>
      </c>
      <c r="C793" t="s">
        <v>16</v>
      </c>
      <c r="D793" t="s">
        <v>11</v>
      </c>
      <c r="E793">
        <v>527.53254014625099</v>
      </c>
      <c r="F793">
        <v>8</v>
      </c>
      <c r="G793">
        <v>120.802933029787</v>
      </c>
    </row>
    <row r="794" spans="1:7" x14ac:dyDescent="0.45">
      <c r="A794" s="1">
        <v>45024</v>
      </c>
      <c r="B794" t="s">
        <v>14</v>
      </c>
      <c r="C794" t="s">
        <v>15</v>
      </c>
      <c r="D794" t="s">
        <v>9</v>
      </c>
      <c r="E794">
        <v>476.15868266094498</v>
      </c>
      <c r="F794">
        <v>16</v>
      </c>
      <c r="G794">
        <v>96.103632695050393</v>
      </c>
    </row>
    <row r="795" spans="1:7" x14ac:dyDescent="0.45">
      <c r="A795" s="1">
        <v>45264</v>
      </c>
      <c r="B795" t="s">
        <v>7</v>
      </c>
      <c r="C795" t="s">
        <v>10</v>
      </c>
      <c r="D795" t="s">
        <v>9</v>
      </c>
      <c r="E795">
        <v>659.49447175594696</v>
      </c>
      <c r="F795">
        <v>6</v>
      </c>
      <c r="G795">
        <v>47.578954914719198</v>
      </c>
    </row>
    <row r="796" spans="1:7" x14ac:dyDescent="0.45">
      <c r="A796" s="1">
        <v>45212</v>
      </c>
      <c r="B796" t="s">
        <v>18</v>
      </c>
      <c r="C796" t="s">
        <v>8</v>
      </c>
      <c r="D796" t="s">
        <v>11</v>
      </c>
      <c r="E796">
        <v>563.98306592068798</v>
      </c>
      <c r="F796">
        <v>13</v>
      </c>
      <c r="G796">
        <v>123.635278635522</v>
      </c>
    </row>
    <row r="797" spans="1:7" x14ac:dyDescent="0.45">
      <c r="A797" s="1">
        <v>45261</v>
      </c>
      <c r="B797" t="s">
        <v>13</v>
      </c>
      <c r="C797" t="s">
        <v>8</v>
      </c>
      <c r="D797" t="s">
        <v>11</v>
      </c>
      <c r="E797">
        <v>690.16875907665496</v>
      </c>
      <c r="F797">
        <v>16</v>
      </c>
      <c r="G797">
        <v>45.567479748636302</v>
      </c>
    </row>
    <row r="798" spans="1:7" x14ac:dyDescent="0.45">
      <c r="A798" s="1">
        <v>45273</v>
      </c>
      <c r="B798" t="s">
        <v>13</v>
      </c>
      <c r="C798" t="s">
        <v>8</v>
      </c>
      <c r="D798" t="s">
        <v>9</v>
      </c>
      <c r="E798">
        <v>661.50175890169805</v>
      </c>
      <c r="F798">
        <v>16</v>
      </c>
      <c r="G798">
        <v>131.66244075347799</v>
      </c>
    </row>
    <row r="799" spans="1:7" x14ac:dyDescent="0.45">
      <c r="A799" s="1">
        <v>45234</v>
      </c>
      <c r="B799" t="s">
        <v>7</v>
      </c>
      <c r="C799" t="s">
        <v>8</v>
      </c>
      <c r="D799" t="s">
        <v>20</v>
      </c>
      <c r="E799">
        <v>125.84160760936599</v>
      </c>
      <c r="F799">
        <v>3</v>
      </c>
      <c r="G799">
        <v>29.559601455271299</v>
      </c>
    </row>
    <row r="800" spans="1:7" x14ac:dyDescent="0.45">
      <c r="A800" s="1">
        <v>45175</v>
      </c>
      <c r="B800" t="s">
        <v>14</v>
      </c>
      <c r="C800" t="s">
        <v>19</v>
      </c>
      <c r="D800" t="s">
        <v>9</v>
      </c>
      <c r="E800">
        <v>801.72073448253195</v>
      </c>
      <c r="F800">
        <v>13</v>
      </c>
      <c r="G800">
        <v>82.370770639508095</v>
      </c>
    </row>
    <row r="801" spans="1:7" x14ac:dyDescent="0.45">
      <c r="A801" s="1">
        <v>45092</v>
      </c>
      <c r="B801" t="s">
        <v>12</v>
      </c>
      <c r="C801" t="s">
        <v>16</v>
      </c>
      <c r="D801" t="s">
        <v>9</v>
      </c>
      <c r="E801">
        <v>132.00024995916101</v>
      </c>
      <c r="F801">
        <v>14</v>
      </c>
      <c r="G801">
        <v>34.3735913396524</v>
      </c>
    </row>
    <row r="802" spans="1:7" x14ac:dyDescent="0.45">
      <c r="A802" s="1">
        <v>45261</v>
      </c>
      <c r="B802" t="s">
        <v>7</v>
      </c>
      <c r="C802" t="s">
        <v>16</v>
      </c>
      <c r="D802" t="s">
        <v>11</v>
      </c>
      <c r="E802">
        <v>701.54531895704497</v>
      </c>
      <c r="F802">
        <v>8</v>
      </c>
      <c r="G802">
        <v>40.400908493905099</v>
      </c>
    </row>
    <row r="803" spans="1:7" x14ac:dyDescent="0.45">
      <c r="A803" s="1">
        <v>44956</v>
      </c>
      <c r="B803" t="s">
        <v>7</v>
      </c>
      <c r="C803" t="s">
        <v>19</v>
      </c>
      <c r="D803" t="s">
        <v>20</v>
      </c>
      <c r="E803">
        <v>421.98391396419999</v>
      </c>
      <c r="F803">
        <v>12</v>
      </c>
      <c r="G803">
        <v>110.118059413178</v>
      </c>
    </row>
    <row r="804" spans="1:7" x14ac:dyDescent="0.45">
      <c r="A804" s="1">
        <v>45173</v>
      </c>
      <c r="B804" t="s">
        <v>18</v>
      </c>
      <c r="C804" t="s">
        <v>15</v>
      </c>
      <c r="D804" t="s">
        <v>9</v>
      </c>
      <c r="E804">
        <v>518.71222723083201</v>
      </c>
      <c r="F804">
        <v>8</v>
      </c>
      <c r="G804">
        <v>85.630188141032306</v>
      </c>
    </row>
    <row r="805" spans="1:7" x14ac:dyDescent="0.45">
      <c r="A805" s="1">
        <v>45032</v>
      </c>
      <c r="B805" t="s">
        <v>13</v>
      </c>
      <c r="C805" t="s">
        <v>15</v>
      </c>
      <c r="D805" t="s">
        <v>9</v>
      </c>
      <c r="E805">
        <v>904.265034231953</v>
      </c>
      <c r="F805">
        <v>9</v>
      </c>
      <c r="G805">
        <v>94.402543199284807</v>
      </c>
    </row>
    <row r="806" spans="1:7" x14ac:dyDescent="0.45">
      <c r="A806" s="1">
        <v>44977</v>
      </c>
      <c r="B806" t="s">
        <v>7</v>
      </c>
      <c r="C806" t="s">
        <v>8</v>
      </c>
      <c r="D806" t="s">
        <v>17</v>
      </c>
      <c r="E806">
        <v>890.98488920875104</v>
      </c>
      <c r="F806">
        <v>1</v>
      </c>
      <c r="G806">
        <v>74.347820884438306</v>
      </c>
    </row>
    <row r="807" spans="1:7" x14ac:dyDescent="0.45">
      <c r="A807" s="1">
        <v>45007</v>
      </c>
      <c r="B807" t="s">
        <v>7</v>
      </c>
      <c r="C807" t="s">
        <v>10</v>
      </c>
      <c r="D807" t="s">
        <v>11</v>
      </c>
      <c r="E807">
        <v>819.67774259847897</v>
      </c>
      <c r="F807">
        <v>6</v>
      </c>
      <c r="G807">
        <v>236.33505391164101</v>
      </c>
    </row>
    <row r="808" spans="1:7" x14ac:dyDescent="0.45">
      <c r="A808" s="1">
        <v>45059</v>
      </c>
      <c r="B808" t="s">
        <v>14</v>
      </c>
      <c r="C808" t="s">
        <v>15</v>
      </c>
      <c r="D808" t="s">
        <v>17</v>
      </c>
      <c r="E808">
        <v>515.04689665175999</v>
      </c>
      <c r="F808">
        <v>19</v>
      </c>
      <c r="G808">
        <v>35.108891176850797</v>
      </c>
    </row>
    <row r="809" spans="1:7" x14ac:dyDescent="0.45">
      <c r="A809" s="1">
        <v>45211</v>
      </c>
      <c r="B809" t="s">
        <v>14</v>
      </c>
      <c r="C809" t="s">
        <v>10</v>
      </c>
      <c r="D809" t="s">
        <v>17</v>
      </c>
      <c r="E809">
        <v>738.87741203249402</v>
      </c>
      <c r="F809">
        <v>11</v>
      </c>
      <c r="G809">
        <v>73.720278320363605</v>
      </c>
    </row>
    <row r="810" spans="1:7" x14ac:dyDescent="0.45">
      <c r="A810" s="1">
        <v>45064</v>
      </c>
      <c r="B810" t="s">
        <v>12</v>
      </c>
      <c r="C810" t="s">
        <v>16</v>
      </c>
      <c r="D810" t="s">
        <v>9</v>
      </c>
      <c r="E810">
        <v>517.76808496362105</v>
      </c>
      <c r="F810">
        <v>11</v>
      </c>
      <c r="G810">
        <v>70.911231932670901</v>
      </c>
    </row>
    <row r="811" spans="1:7" x14ac:dyDescent="0.45">
      <c r="A811" s="1">
        <v>45110</v>
      </c>
      <c r="B811" t="s">
        <v>18</v>
      </c>
      <c r="C811" t="s">
        <v>10</v>
      </c>
      <c r="D811" t="s">
        <v>11</v>
      </c>
      <c r="E811">
        <v>870.91002165002897</v>
      </c>
      <c r="F811">
        <v>13</v>
      </c>
      <c r="G811">
        <v>178.587687516709</v>
      </c>
    </row>
    <row r="812" spans="1:7" x14ac:dyDescent="0.45">
      <c r="A812" s="1">
        <v>45256</v>
      </c>
      <c r="B812" t="s">
        <v>12</v>
      </c>
      <c r="C812" t="s">
        <v>16</v>
      </c>
      <c r="D812" t="s">
        <v>20</v>
      </c>
      <c r="E812">
        <v>408.74807490056997</v>
      </c>
      <c r="F812">
        <v>11</v>
      </c>
      <c r="G812">
        <v>76.109002447615296</v>
      </c>
    </row>
    <row r="813" spans="1:7" x14ac:dyDescent="0.45">
      <c r="A813" s="1">
        <v>45199</v>
      </c>
      <c r="B813" t="s">
        <v>14</v>
      </c>
      <c r="C813" t="s">
        <v>19</v>
      </c>
      <c r="D813" t="s">
        <v>9</v>
      </c>
      <c r="E813">
        <v>970.53299097072795</v>
      </c>
      <c r="F813">
        <v>18</v>
      </c>
      <c r="G813">
        <v>79.011938170269104</v>
      </c>
    </row>
    <row r="814" spans="1:7" x14ac:dyDescent="0.45">
      <c r="A814" s="1">
        <v>45266</v>
      </c>
      <c r="B814" t="s">
        <v>13</v>
      </c>
      <c r="C814" t="s">
        <v>19</v>
      </c>
      <c r="D814" t="s">
        <v>20</v>
      </c>
      <c r="E814">
        <v>932.99953064658803</v>
      </c>
      <c r="F814">
        <v>15</v>
      </c>
      <c r="G814">
        <v>114.228994743063</v>
      </c>
    </row>
    <row r="815" spans="1:7" x14ac:dyDescent="0.45">
      <c r="A815" s="1">
        <v>44995</v>
      </c>
      <c r="B815" t="s">
        <v>14</v>
      </c>
      <c r="C815" t="s">
        <v>8</v>
      </c>
      <c r="D815" t="s">
        <v>20</v>
      </c>
      <c r="E815">
        <v>744.18659325726696</v>
      </c>
      <c r="F815">
        <v>1</v>
      </c>
      <c r="G815">
        <v>81.628296452525205</v>
      </c>
    </row>
    <row r="816" spans="1:7" x14ac:dyDescent="0.45">
      <c r="A816" s="1">
        <v>44960</v>
      </c>
      <c r="B816" t="s">
        <v>18</v>
      </c>
      <c r="C816" t="s">
        <v>15</v>
      </c>
      <c r="D816" t="s">
        <v>11</v>
      </c>
      <c r="E816">
        <v>286.62172533431101</v>
      </c>
      <c r="F816">
        <v>7</v>
      </c>
      <c r="G816">
        <v>29.632591613424399</v>
      </c>
    </row>
    <row r="817" spans="1:7" x14ac:dyDescent="0.45">
      <c r="A817" s="1">
        <v>45188</v>
      </c>
      <c r="B817" t="s">
        <v>14</v>
      </c>
      <c r="C817" t="s">
        <v>8</v>
      </c>
      <c r="D817" t="s">
        <v>17</v>
      </c>
      <c r="E817">
        <v>140.33705290532501</v>
      </c>
      <c r="F817">
        <v>13</v>
      </c>
      <c r="G817">
        <v>21.441548770345499</v>
      </c>
    </row>
    <row r="818" spans="1:7" x14ac:dyDescent="0.45">
      <c r="A818" s="1">
        <v>44979</v>
      </c>
      <c r="B818" t="s">
        <v>18</v>
      </c>
      <c r="C818" t="s">
        <v>16</v>
      </c>
      <c r="D818" t="s">
        <v>11</v>
      </c>
      <c r="E818">
        <v>856.15641559226503</v>
      </c>
      <c r="F818">
        <v>12</v>
      </c>
      <c r="G818">
        <v>193.49808200838501</v>
      </c>
    </row>
    <row r="819" spans="1:7" x14ac:dyDescent="0.45">
      <c r="A819" s="1">
        <v>45131</v>
      </c>
      <c r="B819" t="s">
        <v>18</v>
      </c>
      <c r="C819" t="s">
        <v>8</v>
      </c>
      <c r="D819" t="s">
        <v>20</v>
      </c>
      <c r="E819">
        <v>173.649263276581</v>
      </c>
      <c r="F819">
        <v>18</v>
      </c>
      <c r="G819">
        <v>18.1225985330429</v>
      </c>
    </row>
    <row r="820" spans="1:7" x14ac:dyDescent="0.45">
      <c r="A820" s="1">
        <v>45052</v>
      </c>
      <c r="B820" t="s">
        <v>18</v>
      </c>
      <c r="C820" t="s">
        <v>10</v>
      </c>
      <c r="D820" t="s">
        <v>9</v>
      </c>
      <c r="E820">
        <v>855.71818110736206</v>
      </c>
      <c r="F820">
        <v>19</v>
      </c>
      <c r="G820">
        <v>121.22935505284801</v>
      </c>
    </row>
    <row r="821" spans="1:7" x14ac:dyDescent="0.45">
      <c r="A821" s="1">
        <v>45161</v>
      </c>
      <c r="B821" t="s">
        <v>18</v>
      </c>
      <c r="C821" t="s">
        <v>16</v>
      </c>
      <c r="D821" t="s">
        <v>20</v>
      </c>
      <c r="E821">
        <v>495.857356645236</v>
      </c>
      <c r="F821">
        <v>15</v>
      </c>
      <c r="G821">
        <v>73.252688317265907</v>
      </c>
    </row>
    <row r="822" spans="1:7" x14ac:dyDescent="0.45">
      <c r="A822" s="1">
        <v>44969</v>
      </c>
      <c r="B822" t="s">
        <v>18</v>
      </c>
      <c r="C822" t="s">
        <v>19</v>
      </c>
      <c r="D822" t="s">
        <v>9</v>
      </c>
      <c r="E822">
        <v>412.49121597002301</v>
      </c>
      <c r="F822">
        <v>8</v>
      </c>
      <c r="G822">
        <v>121.319496090671</v>
      </c>
    </row>
    <row r="823" spans="1:7" x14ac:dyDescent="0.45">
      <c r="A823" s="1">
        <v>45166</v>
      </c>
      <c r="B823" t="s">
        <v>13</v>
      </c>
      <c r="C823" t="s">
        <v>15</v>
      </c>
      <c r="D823" t="s">
        <v>9</v>
      </c>
      <c r="E823">
        <v>904.15887104608396</v>
      </c>
      <c r="F823">
        <v>19</v>
      </c>
      <c r="G823">
        <v>261.00045741766797</v>
      </c>
    </row>
    <row r="824" spans="1:7" x14ac:dyDescent="0.45">
      <c r="A824" s="1">
        <v>45037</v>
      </c>
      <c r="B824" t="s">
        <v>12</v>
      </c>
      <c r="C824" t="s">
        <v>16</v>
      </c>
      <c r="D824" t="s">
        <v>11</v>
      </c>
      <c r="E824">
        <v>607.81247271487496</v>
      </c>
      <c r="F824">
        <v>10</v>
      </c>
      <c r="G824">
        <v>151.974024306904</v>
      </c>
    </row>
    <row r="825" spans="1:7" x14ac:dyDescent="0.45">
      <c r="A825" s="1">
        <v>45175</v>
      </c>
      <c r="B825" t="s">
        <v>7</v>
      </c>
      <c r="C825" t="s">
        <v>16</v>
      </c>
      <c r="D825" t="s">
        <v>20</v>
      </c>
      <c r="E825">
        <v>580.84786705841998</v>
      </c>
      <c r="F825">
        <v>7</v>
      </c>
      <c r="G825">
        <v>64.134160531286895</v>
      </c>
    </row>
    <row r="826" spans="1:7" x14ac:dyDescent="0.45">
      <c r="A826" s="1">
        <v>45077</v>
      </c>
      <c r="B826" t="s">
        <v>12</v>
      </c>
      <c r="C826" t="s">
        <v>10</v>
      </c>
      <c r="D826" t="s">
        <v>17</v>
      </c>
      <c r="E826">
        <v>563.17828517815303</v>
      </c>
      <c r="F826">
        <v>18</v>
      </c>
      <c r="G826">
        <v>37.7381987284761</v>
      </c>
    </row>
    <row r="827" spans="1:7" x14ac:dyDescent="0.45">
      <c r="A827" s="1">
        <v>45109</v>
      </c>
      <c r="B827" t="s">
        <v>18</v>
      </c>
      <c r="C827" t="s">
        <v>15</v>
      </c>
      <c r="D827" t="s">
        <v>20</v>
      </c>
      <c r="E827">
        <v>377.45782085933598</v>
      </c>
      <c r="F827">
        <v>16</v>
      </c>
      <c r="G827">
        <v>48.777377354300199</v>
      </c>
    </row>
    <row r="828" spans="1:7" x14ac:dyDescent="0.45">
      <c r="A828" s="1">
        <v>45262</v>
      </c>
      <c r="B828" t="s">
        <v>13</v>
      </c>
      <c r="C828" t="s">
        <v>19</v>
      </c>
      <c r="D828" t="s">
        <v>20</v>
      </c>
      <c r="E828">
        <v>787.78667249383602</v>
      </c>
      <c r="F828">
        <v>6</v>
      </c>
      <c r="G828">
        <v>91.933631209184199</v>
      </c>
    </row>
    <row r="829" spans="1:7" x14ac:dyDescent="0.45">
      <c r="A829" s="1">
        <v>45021</v>
      </c>
      <c r="B829" t="s">
        <v>14</v>
      </c>
      <c r="C829" t="s">
        <v>16</v>
      </c>
      <c r="D829" t="s">
        <v>17</v>
      </c>
      <c r="E829">
        <v>260.27045957561501</v>
      </c>
      <c r="F829">
        <v>9</v>
      </c>
      <c r="G829">
        <v>45.932908107596397</v>
      </c>
    </row>
    <row r="830" spans="1:7" x14ac:dyDescent="0.45">
      <c r="A830" s="1">
        <v>44934</v>
      </c>
      <c r="B830" t="s">
        <v>13</v>
      </c>
      <c r="C830" t="s">
        <v>16</v>
      </c>
      <c r="D830" t="s">
        <v>11</v>
      </c>
      <c r="E830">
        <v>939.50601044086204</v>
      </c>
      <c r="F830">
        <v>13</v>
      </c>
      <c r="G830">
        <v>229.645312021118</v>
      </c>
    </row>
    <row r="831" spans="1:7" x14ac:dyDescent="0.45">
      <c r="A831" s="1">
        <v>45286</v>
      </c>
      <c r="B831" t="s">
        <v>18</v>
      </c>
      <c r="C831" t="s">
        <v>10</v>
      </c>
      <c r="D831" t="s">
        <v>20</v>
      </c>
      <c r="E831">
        <v>895.04535299649103</v>
      </c>
      <c r="F831">
        <v>8</v>
      </c>
      <c r="G831">
        <v>236.81175710327699</v>
      </c>
    </row>
    <row r="832" spans="1:7" x14ac:dyDescent="0.45">
      <c r="A832" s="1">
        <v>45110</v>
      </c>
      <c r="B832" t="s">
        <v>13</v>
      </c>
      <c r="C832" t="s">
        <v>8</v>
      </c>
      <c r="D832" t="s">
        <v>20</v>
      </c>
      <c r="E832">
        <v>344.10552241814901</v>
      </c>
      <c r="F832">
        <v>16</v>
      </c>
      <c r="G832">
        <v>89.885875491536098</v>
      </c>
    </row>
    <row r="833" spans="1:7" x14ac:dyDescent="0.45">
      <c r="A833" s="1">
        <v>45207</v>
      </c>
      <c r="B833" t="s">
        <v>13</v>
      </c>
      <c r="C833" t="s">
        <v>19</v>
      </c>
      <c r="D833" t="s">
        <v>9</v>
      </c>
      <c r="E833">
        <v>732.16913213334703</v>
      </c>
      <c r="F833">
        <v>13</v>
      </c>
      <c r="G833">
        <v>102.444292484234</v>
      </c>
    </row>
    <row r="834" spans="1:7" x14ac:dyDescent="0.45">
      <c r="A834" s="1">
        <v>45121</v>
      </c>
      <c r="B834" t="s">
        <v>18</v>
      </c>
      <c r="C834" t="s">
        <v>15</v>
      </c>
      <c r="D834" t="s">
        <v>20</v>
      </c>
      <c r="E834">
        <v>577.49096250509501</v>
      </c>
      <c r="F834">
        <v>13</v>
      </c>
      <c r="G834">
        <v>128.09245374317101</v>
      </c>
    </row>
    <row r="835" spans="1:7" x14ac:dyDescent="0.45">
      <c r="A835" s="1">
        <v>45278</v>
      </c>
      <c r="B835" t="s">
        <v>13</v>
      </c>
      <c r="C835" t="s">
        <v>16</v>
      </c>
      <c r="D835" t="s">
        <v>17</v>
      </c>
      <c r="E835">
        <v>344.27280897924197</v>
      </c>
      <c r="F835">
        <v>17</v>
      </c>
      <c r="G835">
        <v>44.138717430569699</v>
      </c>
    </row>
    <row r="836" spans="1:7" x14ac:dyDescent="0.45">
      <c r="A836" s="1">
        <v>45121</v>
      </c>
      <c r="B836" t="s">
        <v>7</v>
      </c>
      <c r="C836" t="s">
        <v>16</v>
      </c>
      <c r="D836" t="s">
        <v>9</v>
      </c>
      <c r="E836">
        <v>988.63643151549195</v>
      </c>
      <c r="F836">
        <v>5</v>
      </c>
      <c r="G836">
        <v>64.485181306660493</v>
      </c>
    </row>
    <row r="837" spans="1:7" x14ac:dyDescent="0.45">
      <c r="A837" s="1">
        <v>45081</v>
      </c>
      <c r="B837" t="s">
        <v>7</v>
      </c>
      <c r="C837" t="s">
        <v>19</v>
      </c>
      <c r="D837" t="s">
        <v>11</v>
      </c>
      <c r="E837">
        <v>34.984972389781497</v>
      </c>
      <c r="F837">
        <v>17</v>
      </c>
      <c r="G837">
        <v>7.8853089811762498</v>
      </c>
    </row>
    <row r="838" spans="1:7" x14ac:dyDescent="0.45">
      <c r="A838" s="1">
        <v>45019</v>
      </c>
      <c r="B838" t="s">
        <v>13</v>
      </c>
      <c r="C838" t="s">
        <v>8</v>
      </c>
      <c r="D838" t="s">
        <v>9</v>
      </c>
      <c r="E838">
        <v>260.11957031507302</v>
      </c>
      <c r="F838">
        <v>9</v>
      </c>
      <c r="G838">
        <v>13.645063203679101</v>
      </c>
    </row>
    <row r="839" spans="1:7" x14ac:dyDescent="0.45">
      <c r="A839" s="1">
        <v>45086</v>
      </c>
      <c r="B839" t="s">
        <v>14</v>
      </c>
      <c r="C839" t="s">
        <v>16</v>
      </c>
      <c r="D839" t="s">
        <v>17</v>
      </c>
      <c r="E839">
        <v>524.87332050003795</v>
      </c>
      <c r="F839">
        <v>2</v>
      </c>
      <c r="G839">
        <v>79.935921867535498</v>
      </c>
    </row>
    <row r="840" spans="1:7" x14ac:dyDescent="0.45">
      <c r="A840" s="1">
        <v>44987</v>
      </c>
      <c r="B840" t="s">
        <v>18</v>
      </c>
      <c r="C840" t="s">
        <v>19</v>
      </c>
      <c r="D840" t="s">
        <v>17</v>
      </c>
      <c r="E840">
        <v>526.73347344377805</v>
      </c>
      <c r="F840">
        <v>18</v>
      </c>
      <c r="G840">
        <v>69.710445322152907</v>
      </c>
    </row>
    <row r="841" spans="1:7" x14ac:dyDescent="0.45">
      <c r="A841" s="1">
        <v>45048</v>
      </c>
      <c r="B841" t="s">
        <v>7</v>
      </c>
      <c r="C841" t="s">
        <v>10</v>
      </c>
      <c r="D841" t="s">
        <v>9</v>
      </c>
      <c r="E841">
        <v>593.04374419610804</v>
      </c>
      <c r="F841">
        <v>9</v>
      </c>
      <c r="G841">
        <v>132.45299010598001</v>
      </c>
    </row>
    <row r="842" spans="1:7" x14ac:dyDescent="0.45">
      <c r="A842" s="1">
        <v>44977</v>
      </c>
      <c r="B842" t="s">
        <v>14</v>
      </c>
      <c r="C842" t="s">
        <v>8</v>
      </c>
      <c r="D842" t="s">
        <v>11</v>
      </c>
      <c r="E842">
        <v>754.15941030269005</v>
      </c>
      <c r="F842">
        <v>6</v>
      </c>
      <c r="G842">
        <v>182.17577898615201</v>
      </c>
    </row>
    <row r="843" spans="1:7" x14ac:dyDescent="0.45">
      <c r="A843" s="1">
        <v>45203</v>
      </c>
      <c r="B843" t="s">
        <v>13</v>
      </c>
      <c r="C843" t="s">
        <v>15</v>
      </c>
      <c r="D843" t="s">
        <v>9</v>
      </c>
      <c r="E843">
        <v>627.24305221410305</v>
      </c>
      <c r="F843">
        <v>11</v>
      </c>
      <c r="G843">
        <v>79.047464517846294</v>
      </c>
    </row>
    <row r="844" spans="1:7" x14ac:dyDescent="0.45">
      <c r="A844" s="1">
        <v>44931</v>
      </c>
      <c r="B844" t="s">
        <v>14</v>
      </c>
      <c r="C844" t="s">
        <v>16</v>
      </c>
      <c r="D844" t="s">
        <v>11</v>
      </c>
      <c r="E844">
        <v>604.27864592275603</v>
      </c>
      <c r="F844">
        <v>6</v>
      </c>
      <c r="G844">
        <v>152.82615061690399</v>
      </c>
    </row>
    <row r="845" spans="1:7" x14ac:dyDescent="0.45">
      <c r="A845" s="1">
        <v>45018</v>
      </c>
      <c r="B845" t="s">
        <v>12</v>
      </c>
      <c r="C845" t="s">
        <v>19</v>
      </c>
      <c r="D845" t="s">
        <v>9</v>
      </c>
      <c r="E845">
        <v>62.979318283912797</v>
      </c>
      <c r="F845">
        <v>6</v>
      </c>
      <c r="G845">
        <v>7.77663521639984</v>
      </c>
    </row>
    <row r="846" spans="1:7" x14ac:dyDescent="0.45">
      <c r="A846" s="1">
        <v>45096</v>
      </c>
      <c r="B846" t="s">
        <v>7</v>
      </c>
      <c r="C846" t="s">
        <v>10</v>
      </c>
      <c r="D846" t="s">
        <v>17</v>
      </c>
      <c r="E846">
        <v>382.76498491140501</v>
      </c>
      <c r="F846">
        <v>13</v>
      </c>
      <c r="G846">
        <v>61.847774857024902</v>
      </c>
    </row>
    <row r="847" spans="1:7" x14ac:dyDescent="0.45">
      <c r="A847" s="1">
        <v>45243</v>
      </c>
      <c r="B847" t="s">
        <v>13</v>
      </c>
      <c r="C847" t="s">
        <v>15</v>
      </c>
      <c r="D847" t="s">
        <v>20</v>
      </c>
      <c r="E847">
        <v>239.73518230414399</v>
      </c>
      <c r="F847">
        <v>11</v>
      </c>
      <c r="G847">
        <v>55.559738893263201</v>
      </c>
    </row>
    <row r="848" spans="1:7" x14ac:dyDescent="0.45">
      <c r="A848" s="1">
        <v>44948</v>
      </c>
      <c r="B848" t="s">
        <v>18</v>
      </c>
      <c r="C848" t="s">
        <v>19</v>
      </c>
      <c r="D848" t="s">
        <v>20</v>
      </c>
      <c r="E848">
        <v>272.71641048595501</v>
      </c>
      <c r="F848">
        <v>14</v>
      </c>
      <c r="G848">
        <v>60.878499941120197</v>
      </c>
    </row>
    <row r="849" spans="1:7" x14ac:dyDescent="0.45">
      <c r="A849" s="1">
        <v>45252</v>
      </c>
      <c r="B849" t="s">
        <v>13</v>
      </c>
      <c r="C849" t="s">
        <v>19</v>
      </c>
      <c r="D849" t="s">
        <v>11</v>
      </c>
      <c r="E849">
        <v>558.79409959694101</v>
      </c>
      <c r="F849">
        <v>2</v>
      </c>
      <c r="G849">
        <v>165.873624093872</v>
      </c>
    </row>
    <row r="850" spans="1:7" x14ac:dyDescent="0.45">
      <c r="A850" s="1">
        <v>44927</v>
      </c>
      <c r="B850" t="s">
        <v>18</v>
      </c>
      <c r="C850" t="s">
        <v>15</v>
      </c>
      <c r="D850" t="s">
        <v>11</v>
      </c>
      <c r="E850">
        <v>207.51026178031199</v>
      </c>
      <c r="F850">
        <v>8</v>
      </c>
      <c r="G850">
        <v>22.0563188584584</v>
      </c>
    </row>
    <row r="851" spans="1:7" x14ac:dyDescent="0.45">
      <c r="A851" s="1">
        <v>45059</v>
      </c>
      <c r="B851" t="s">
        <v>13</v>
      </c>
      <c r="C851" t="s">
        <v>10</v>
      </c>
      <c r="D851" t="s">
        <v>11</v>
      </c>
      <c r="E851">
        <v>301.009610006728</v>
      </c>
      <c r="F851">
        <v>3</v>
      </c>
      <c r="G851">
        <v>64.891494714091394</v>
      </c>
    </row>
    <row r="852" spans="1:7" x14ac:dyDescent="0.45">
      <c r="A852" s="1">
        <v>45159</v>
      </c>
      <c r="B852" t="s">
        <v>14</v>
      </c>
      <c r="C852" t="s">
        <v>10</v>
      </c>
      <c r="D852" t="s">
        <v>17</v>
      </c>
      <c r="E852">
        <v>244.713861432166</v>
      </c>
      <c r="F852">
        <v>3</v>
      </c>
      <c r="G852">
        <v>49.535096576482701</v>
      </c>
    </row>
    <row r="853" spans="1:7" x14ac:dyDescent="0.45">
      <c r="A853" s="1">
        <v>44938</v>
      </c>
      <c r="B853" t="s">
        <v>14</v>
      </c>
      <c r="C853" t="s">
        <v>8</v>
      </c>
      <c r="D853" t="s">
        <v>9</v>
      </c>
      <c r="E853">
        <v>949.01791378601195</v>
      </c>
      <c r="F853">
        <v>1</v>
      </c>
      <c r="G853">
        <v>264.56210223653301</v>
      </c>
    </row>
    <row r="854" spans="1:7" x14ac:dyDescent="0.45">
      <c r="A854" s="1">
        <v>45272</v>
      </c>
      <c r="B854" t="s">
        <v>14</v>
      </c>
      <c r="C854" t="s">
        <v>16</v>
      </c>
      <c r="D854" t="s">
        <v>17</v>
      </c>
      <c r="E854">
        <v>945.21907484938401</v>
      </c>
      <c r="F854">
        <v>19</v>
      </c>
      <c r="G854">
        <v>84.210073459228497</v>
      </c>
    </row>
    <row r="855" spans="1:7" x14ac:dyDescent="0.45">
      <c r="A855" s="1">
        <v>44972</v>
      </c>
      <c r="B855" t="s">
        <v>12</v>
      </c>
      <c r="C855" t="s">
        <v>15</v>
      </c>
      <c r="D855" t="s">
        <v>20</v>
      </c>
      <c r="E855">
        <v>613.84214301009104</v>
      </c>
      <c r="F855">
        <v>18</v>
      </c>
      <c r="G855">
        <v>146.06345611231799</v>
      </c>
    </row>
    <row r="856" spans="1:7" x14ac:dyDescent="0.45">
      <c r="A856" s="1">
        <v>44960</v>
      </c>
      <c r="B856" t="s">
        <v>18</v>
      </c>
      <c r="C856" t="s">
        <v>15</v>
      </c>
      <c r="D856" t="s">
        <v>11</v>
      </c>
      <c r="E856">
        <v>925.27724404458002</v>
      </c>
      <c r="F856">
        <v>17</v>
      </c>
      <c r="G856">
        <v>177.71536698677701</v>
      </c>
    </row>
    <row r="857" spans="1:7" x14ac:dyDescent="0.45">
      <c r="A857" s="1">
        <v>45004</v>
      </c>
      <c r="B857" t="s">
        <v>14</v>
      </c>
      <c r="C857" t="s">
        <v>15</v>
      </c>
      <c r="D857" t="s">
        <v>9</v>
      </c>
      <c r="E857">
        <v>787.95451901368904</v>
      </c>
      <c r="F857">
        <v>13</v>
      </c>
      <c r="G857">
        <v>93.503779280235804</v>
      </c>
    </row>
    <row r="858" spans="1:7" x14ac:dyDescent="0.45">
      <c r="A858" s="1">
        <v>45144</v>
      </c>
      <c r="B858" t="s">
        <v>12</v>
      </c>
      <c r="C858" t="s">
        <v>10</v>
      </c>
      <c r="D858" t="s">
        <v>20</v>
      </c>
      <c r="E858">
        <v>594.04840397378996</v>
      </c>
      <c r="F858">
        <v>3</v>
      </c>
      <c r="G858">
        <v>100.16174608333201</v>
      </c>
    </row>
    <row r="859" spans="1:7" x14ac:dyDescent="0.45">
      <c r="A859" s="1">
        <v>45227</v>
      </c>
      <c r="B859" t="s">
        <v>18</v>
      </c>
      <c r="C859" t="s">
        <v>16</v>
      </c>
      <c r="D859" t="s">
        <v>20</v>
      </c>
      <c r="E859">
        <v>16.3708593818277</v>
      </c>
      <c r="F859">
        <v>1</v>
      </c>
      <c r="G859">
        <v>2.1845954029850398</v>
      </c>
    </row>
    <row r="860" spans="1:7" x14ac:dyDescent="0.45">
      <c r="A860" s="1">
        <v>44999</v>
      </c>
      <c r="B860" t="s">
        <v>13</v>
      </c>
      <c r="C860" t="s">
        <v>8</v>
      </c>
      <c r="D860" t="s">
        <v>20</v>
      </c>
      <c r="E860">
        <v>774.79112321860998</v>
      </c>
      <c r="F860">
        <v>4</v>
      </c>
      <c r="G860">
        <v>150.951276671447</v>
      </c>
    </row>
    <row r="861" spans="1:7" x14ac:dyDescent="0.45">
      <c r="A861" s="1">
        <v>45208</v>
      </c>
      <c r="B861" t="s">
        <v>12</v>
      </c>
      <c r="C861" t="s">
        <v>19</v>
      </c>
      <c r="D861" t="s">
        <v>17</v>
      </c>
      <c r="E861">
        <v>705.46345817258396</v>
      </c>
      <c r="F861">
        <v>13</v>
      </c>
      <c r="G861">
        <v>192.06253421434201</v>
      </c>
    </row>
    <row r="862" spans="1:7" x14ac:dyDescent="0.45">
      <c r="A862" s="1">
        <v>45175</v>
      </c>
      <c r="B862" t="s">
        <v>7</v>
      </c>
      <c r="C862" t="s">
        <v>19</v>
      </c>
      <c r="D862" t="s">
        <v>11</v>
      </c>
      <c r="E862">
        <v>619.10111674958898</v>
      </c>
      <c r="F862">
        <v>17</v>
      </c>
      <c r="G862">
        <v>119.069393742655</v>
      </c>
    </row>
    <row r="863" spans="1:7" x14ac:dyDescent="0.45">
      <c r="A863" s="1">
        <v>44973</v>
      </c>
      <c r="B863" t="s">
        <v>12</v>
      </c>
      <c r="C863" t="s">
        <v>15</v>
      </c>
      <c r="D863" t="s">
        <v>20</v>
      </c>
      <c r="E863">
        <v>762.82006856564703</v>
      </c>
      <c r="F863">
        <v>11</v>
      </c>
      <c r="G863">
        <v>158.61363804386701</v>
      </c>
    </row>
    <row r="864" spans="1:7" x14ac:dyDescent="0.45">
      <c r="A864" s="1">
        <v>45047</v>
      </c>
      <c r="B864" t="s">
        <v>12</v>
      </c>
      <c r="C864" t="s">
        <v>16</v>
      </c>
      <c r="D864" t="s">
        <v>11</v>
      </c>
      <c r="E864">
        <v>517.79294312701802</v>
      </c>
      <c r="F864">
        <v>2</v>
      </c>
      <c r="G864">
        <v>93.040640780933302</v>
      </c>
    </row>
    <row r="865" spans="1:7" x14ac:dyDescent="0.45">
      <c r="A865" s="1">
        <v>45140</v>
      </c>
      <c r="B865" t="s">
        <v>18</v>
      </c>
      <c r="C865" t="s">
        <v>10</v>
      </c>
      <c r="D865" t="s">
        <v>17</v>
      </c>
      <c r="E865">
        <v>707.04243860812505</v>
      </c>
      <c r="F865">
        <v>16</v>
      </c>
      <c r="G865">
        <v>44.396168042863501</v>
      </c>
    </row>
    <row r="866" spans="1:7" x14ac:dyDescent="0.45">
      <c r="A866" s="1">
        <v>45165</v>
      </c>
      <c r="B866" t="s">
        <v>13</v>
      </c>
      <c r="C866" t="s">
        <v>16</v>
      </c>
      <c r="D866" t="s">
        <v>20</v>
      </c>
      <c r="E866">
        <v>935.82036585922799</v>
      </c>
      <c r="F866">
        <v>2</v>
      </c>
      <c r="G866">
        <v>101.269463265271</v>
      </c>
    </row>
    <row r="867" spans="1:7" x14ac:dyDescent="0.45">
      <c r="A867" s="1">
        <v>44982</v>
      </c>
      <c r="B867" t="s">
        <v>7</v>
      </c>
      <c r="C867" t="s">
        <v>16</v>
      </c>
      <c r="D867" t="s">
        <v>17</v>
      </c>
      <c r="E867">
        <v>382.046965687625</v>
      </c>
      <c r="F867">
        <v>19</v>
      </c>
      <c r="G867">
        <v>66.0942902450291</v>
      </c>
    </row>
    <row r="868" spans="1:7" x14ac:dyDescent="0.45">
      <c r="A868" s="1">
        <v>45276</v>
      </c>
      <c r="B868" t="s">
        <v>14</v>
      </c>
      <c r="C868" t="s">
        <v>10</v>
      </c>
      <c r="D868" t="s">
        <v>17</v>
      </c>
      <c r="E868">
        <v>711.040616551619</v>
      </c>
      <c r="F868">
        <v>19</v>
      </c>
      <c r="G868">
        <v>90.699502685056302</v>
      </c>
    </row>
    <row r="869" spans="1:7" x14ac:dyDescent="0.45">
      <c r="A869" s="1">
        <v>45033</v>
      </c>
      <c r="B869" t="s">
        <v>14</v>
      </c>
      <c r="C869" t="s">
        <v>15</v>
      </c>
      <c r="D869" t="s">
        <v>11</v>
      </c>
      <c r="E869">
        <v>480.93093983084901</v>
      </c>
      <c r="F869">
        <v>16</v>
      </c>
      <c r="G869">
        <v>45.900481466124297</v>
      </c>
    </row>
    <row r="870" spans="1:7" x14ac:dyDescent="0.45">
      <c r="A870" s="1">
        <v>45245</v>
      </c>
      <c r="B870" t="s">
        <v>12</v>
      </c>
      <c r="C870" t="s">
        <v>16</v>
      </c>
      <c r="D870" t="s">
        <v>20</v>
      </c>
      <c r="E870">
        <v>677.65565529584103</v>
      </c>
      <c r="F870">
        <v>19</v>
      </c>
      <c r="G870">
        <v>119.28990060139</v>
      </c>
    </row>
    <row r="871" spans="1:7" x14ac:dyDescent="0.45">
      <c r="A871" s="1">
        <v>44974</v>
      </c>
      <c r="B871" t="s">
        <v>18</v>
      </c>
      <c r="C871" t="s">
        <v>19</v>
      </c>
      <c r="D871" t="s">
        <v>17</v>
      </c>
      <c r="E871">
        <v>765.26440219881999</v>
      </c>
      <c r="F871">
        <v>9</v>
      </c>
      <c r="G871">
        <v>100.021931011639</v>
      </c>
    </row>
    <row r="872" spans="1:7" x14ac:dyDescent="0.45">
      <c r="A872" s="1">
        <v>44987</v>
      </c>
      <c r="B872" t="s">
        <v>18</v>
      </c>
      <c r="C872" t="s">
        <v>10</v>
      </c>
      <c r="D872" t="s">
        <v>20</v>
      </c>
      <c r="E872">
        <v>54.997975431438</v>
      </c>
      <c r="F872">
        <v>1</v>
      </c>
      <c r="G872">
        <v>6.2987482260513499</v>
      </c>
    </row>
    <row r="873" spans="1:7" x14ac:dyDescent="0.45">
      <c r="A873" s="1">
        <v>45263</v>
      </c>
      <c r="B873" t="s">
        <v>14</v>
      </c>
      <c r="C873" t="s">
        <v>8</v>
      </c>
      <c r="D873" t="s">
        <v>11</v>
      </c>
      <c r="E873">
        <v>650.13443950917497</v>
      </c>
      <c r="F873">
        <v>10</v>
      </c>
      <c r="G873">
        <v>107.919946802466</v>
      </c>
    </row>
    <row r="874" spans="1:7" x14ac:dyDescent="0.45">
      <c r="A874" s="1">
        <v>44952</v>
      </c>
      <c r="B874" t="s">
        <v>7</v>
      </c>
      <c r="C874" t="s">
        <v>15</v>
      </c>
      <c r="D874" t="s">
        <v>17</v>
      </c>
      <c r="E874">
        <v>234.47377256287501</v>
      </c>
      <c r="F874">
        <v>19</v>
      </c>
      <c r="G874">
        <v>19.536604332086501</v>
      </c>
    </row>
    <row r="875" spans="1:7" x14ac:dyDescent="0.45">
      <c r="A875" s="1">
        <v>45218</v>
      </c>
      <c r="B875" t="s">
        <v>13</v>
      </c>
      <c r="C875" t="s">
        <v>10</v>
      </c>
      <c r="D875" t="s">
        <v>11</v>
      </c>
      <c r="E875">
        <v>673.33221242949105</v>
      </c>
      <c r="F875">
        <v>1</v>
      </c>
      <c r="G875">
        <v>189.836882377395</v>
      </c>
    </row>
    <row r="876" spans="1:7" x14ac:dyDescent="0.45">
      <c r="A876" s="1">
        <v>45183</v>
      </c>
      <c r="B876" t="s">
        <v>7</v>
      </c>
      <c r="C876" t="s">
        <v>8</v>
      </c>
      <c r="D876" t="s">
        <v>20</v>
      </c>
      <c r="E876">
        <v>473.646884074475</v>
      </c>
      <c r="F876">
        <v>2</v>
      </c>
      <c r="G876">
        <v>126.428442949806</v>
      </c>
    </row>
    <row r="877" spans="1:7" x14ac:dyDescent="0.45">
      <c r="A877" s="1">
        <v>44934</v>
      </c>
      <c r="B877" t="s">
        <v>13</v>
      </c>
      <c r="C877" t="s">
        <v>8</v>
      </c>
      <c r="D877" t="s">
        <v>20</v>
      </c>
      <c r="E877">
        <v>775.81721444623804</v>
      </c>
      <c r="F877">
        <v>16</v>
      </c>
      <c r="G877">
        <v>176.03691865082101</v>
      </c>
    </row>
    <row r="878" spans="1:7" x14ac:dyDescent="0.45">
      <c r="A878" s="1">
        <v>45039</v>
      </c>
      <c r="B878" t="s">
        <v>14</v>
      </c>
      <c r="C878" t="s">
        <v>16</v>
      </c>
      <c r="D878" t="s">
        <v>11</v>
      </c>
      <c r="E878">
        <v>132.16680705354</v>
      </c>
      <c r="F878">
        <v>12</v>
      </c>
      <c r="G878">
        <v>10.1178259670024</v>
      </c>
    </row>
    <row r="879" spans="1:7" x14ac:dyDescent="0.45">
      <c r="A879" s="1">
        <v>45281</v>
      </c>
      <c r="B879" t="s">
        <v>13</v>
      </c>
      <c r="C879" t="s">
        <v>16</v>
      </c>
      <c r="D879" t="s">
        <v>9</v>
      </c>
      <c r="E879">
        <v>630.059128139633</v>
      </c>
      <c r="F879">
        <v>8</v>
      </c>
      <c r="G879">
        <v>153.71509303061799</v>
      </c>
    </row>
    <row r="880" spans="1:7" x14ac:dyDescent="0.45">
      <c r="A880" s="1">
        <v>45179</v>
      </c>
      <c r="B880" t="s">
        <v>18</v>
      </c>
      <c r="C880" t="s">
        <v>16</v>
      </c>
      <c r="D880" t="s">
        <v>17</v>
      </c>
      <c r="E880">
        <v>285.68602163827597</v>
      </c>
      <c r="F880">
        <v>18</v>
      </c>
      <c r="G880">
        <v>71.989829762153207</v>
      </c>
    </row>
    <row r="881" spans="1:7" x14ac:dyDescent="0.45">
      <c r="A881" s="1">
        <v>45106</v>
      </c>
      <c r="B881" t="s">
        <v>12</v>
      </c>
      <c r="C881" t="s">
        <v>10</v>
      </c>
      <c r="D881" t="s">
        <v>20</v>
      </c>
      <c r="E881">
        <v>854.45217537728502</v>
      </c>
      <c r="F881">
        <v>2</v>
      </c>
      <c r="G881">
        <v>206.727145714795</v>
      </c>
    </row>
    <row r="882" spans="1:7" x14ac:dyDescent="0.45">
      <c r="A882" s="1">
        <v>45133</v>
      </c>
      <c r="B882" t="s">
        <v>12</v>
      </c>
      <c r="C882" t="s">
        <v>10</v>
      </c>
      <c r="D882" t="s">
        <v>20</v>
      </c>
      <c r="E882">
        <v>929.09967057994402</v>
      </c>
      <c r="F882">
        <v>13</v>
      </c>
      <c r="G882">
        <v>72.926400573956698</v>
      </c>
    </row>
    <row r="883" spans="1:7" x14ac:dyDescent="0.45">
      <c r="A883" s="1">
        <v>45229</v>
      </c>
      <c r="B883" t="s">
        <v>14</v>
      </c>
      <c r="C883" t="s">
        <v>15</v>
      </c>
      <c r="D883" t="s">
        <v>17</v>
      </c>
      <c r="E883">
        <v>996.43431074226396</v>
      </c>
      <c r="F883">
        <v>6</v>
      </c>
      <c r="G883">
        <v>210.22471088268199</v>
      </c>
    </row>
    <row r="884" spans="1:7" x14ac:dyDescent="0.45">
      <c r="A884" s="1">
        <v>45053</v>
      </c>
      <c r="B884" t="s">
        <v>18</v>
      </c>
      <c r="C884" t="s">
        <v>16</v>
      </c>
      <c r="D884" t="s">
        <v>11</v>
      </c>
      <c r="E884">
        <v>798.04732840301006</v>
      </c>
      <c r="F884">
        <v>6</v>
      </c>
      <c r="G884">
        <v>206.36003498719899</v>
      </c>
    </row>
    <row r="885" spans="1:7" x14ac:dyDescent="0.45">
      <c r="A885" s="1">
        <v>44982</v>
      </c>
      <c r="B885" t="s">
        <v>7</v>
      </c>
      <c r="C885" t="s">
        <v>8</v>
      </c>
      <c r="D885" t="s">
        <v>11</v>
      </c>
      <c r="E885">
        <v>756.19672972372405</v>
      </c>
      <c r="F885">
        <v>9</v>
      </c>
      <c r="G885">
        <v>146.958024960481</v>
      </c>
    </row>
    <row r="886" spans="1:7" x14ac:dyDescent="0.45">
      <c r="A886" s="1">
        <v>45140</v>
      </c>
      <c r="B886" t="s">
        <v>18</v>
      </c>
      <c r="C886" t="s">
        <v>19</v>
      </c>
      <c r="D886" t="s">
        <v>11</v>
      </c>
      <c r="E886">
        <v>223.34575127887501</v>
      </c>
      <c r="F886">
        <v>16</v>
      </c>
      <c r="G886">
        <v>47.2603727770746</v>
      </c>
    </row>
    <row r="887" spans="1:7" x14ac:dyDescent="0.45">
      <c r="A887" s="1">
        <v>44940</v>
      </c>
      <c r="B887" t="s">
        <v>12</v>
      </c>
      <c r="C887" t="s">
        <v>15</v>
      </c>
      <c r="D887" t="s">
        <v>9</v>
      </c>
      <c r="E887">
        <v>342.64698840020702</v>
      </c>
      <c r="F887">
        <v>11</v>
      </c>
      <c r="G887">
        <v>56.396565874526402</v>
      </c>
    </row>
    <row r="888" spans="1:7" x14ac:dyDescent="0.45">
      <c r="A888" s="1">
        <v>44954</v>
      </c>
      <c r="B888" t="s">
        <v>12</v>
      </c>
      <c r="C888" t="s">
        <v>10</v>
      </c>
      <c r="D888" t="s">
        <v>9</v>
      </c>
      <c r="E888">
        <v>471.02571634465602</v>
      </c>
      <c r="F888">
        <v>7</v>
      </c>
      <c r="G888">
        <v>85.809971838495102</v>
      </c>
    </row>
    <row r="889" spans="1:7" x14ac:dyDescent="0.45">
      <c r="A889" s="1">
        <v>45004</v>
      </c>
      <c r="B889" t="s">
        <v>18</v>
      </c>
      <c r="C889" t="s">
        <v>15</v>
      </c>
      <c r="D889" t="s">
        <v>20</v>
      </c>
      <c r="E889">
        <v>775.64723730442699</v>
      </c>
      <c r="F889">
        <v>10</v>
      </c>
      <c r="G889">
        <v>45.448440667151601</v>
      </c>
    </row>
    <row r="890" spans="1:7" x14ac:dyDescent="0.45">
      <c r="A890" s="1">
        <v>45142</v>
      </c>
      <c r="B890" t="s">
        <v>18</v>
      </c>
      <c r="C890" t="s">
        <v>15</v>
      </c>
      <c r="D890" t="s">
        <v>11</v>
      </c>
      <c r="E890">
        <v>915.81620642718894</v>
      </c>
      <c r="F890">
        <v>10</v>
      </c>
      <c r="G890">
        <v>192.08398302906599</v>
      </c>
    </row>
    <row r="891" spans="1:7" x14ac:dyDescent="0.45">
      <c r="A891" s="1">
        <v>45291</v>
      </c>
      <c r="B891" t="s">
        <v>12</v>
      </c>
      <c r="C891" t="s">
        <v>15</v>
      </c>
      <c r="D891" t="s">
        <v>17</v>
      </c>
      <c r="E891">
        <v>197.24770902275401</v>
      </c>
      <c r="F891">
        <v>18</v>
      </c>
      <c r="G891">
        <v>13.8787044884051</v>
      </c>
    </row>
    <row r="892" spans="1:7" x14ac:dyDescent="0.45">
      <c r="A892" s="1">
        <v>45080</v>
      </c>
      <c r="B892" t="s">
        <v>7</v>
      </c>
      <c r="C892" t="s">
        <v>15</v>
      </c>
      <c r="D892" t="s">
        <v>20</v>
      </c>
      <c r="E892">
        <v>923.14380982340106</v>
      </c>
      <c r="F892">
        <v>9</v>
      </c>
      <c r="G892">
        <v>146.55244797817301</v>
      </c>
    </row>
    <row r="893" spans="1:7" x14ac:dyDescent="0.45">
      <c r="A893" s="1">
        <v>44940</v>
      </c>
      <c r="B893" t="s">
        <v>14</v>
      </c>
      <c r="C893" t="s">
        <v>19</v>
      </c>
      <c r="D893" t="s">
        <v>17</v>
      </c>
      <c r="E893">
        <v>698.66840583051703</v>
      </c>
      <c r="F893">
        <v>15</v>
      </c>
      <c r="G893">
        <v>86.050637927891401</v>
      </c>
    </row>
    <row r="894" spans="1:7" x14ac:dyDescent="0.45">
      <c r="A894" s="1">
        <v>45113</v>
      </c>
      <c r="B894" t="s">
        <v>14</v>
      </c>
      <c r="C894" t="s">
        <v>16</v>
      </c>
      <c r="D894" t="s">
        <v>20</v>
      </c>
      <c r="E894">
        <v>614.66302337818797</v>
      </c>
      <c r="F894">
        <v>4</v>
      </c>
      <c r="G894">
        <v>114.546749396934</v>
      </c>
    </row>
    <row r="895" spans="1:7" x14ac:dyDescent="0.45">
      <c r="A895" s="1">
        <v>45238</v>
      </c>
      <c r="B895" t="s">
        <v>18</v>
      </c>
      <c r="C895" t="s">
        <v>8</v>
      </c>
      <c r="D895" t="s">
        <v>9</v>
      </c>
      <c r="E895">
        <v>207.84285856912001</v>
      </c>
      <c r="F895">
        <v>8</v>
      </c>
      <c r="G895">
        <v>17.324551067196001</v>
      </c>
    </row>
    <row r="896" spans="1:7" x14ac:dyDescent="0.45">
      <c r="A896" s="1">
        <v>44933</v>
      </c>
      <c r="B896" t="s">
        <v>14</v>
      </c>
      <c r="C896" t="s">
        <v>15</v>
      </c>
      <c r="D896" t="s">
        <v>20</v>
      </c>
      <c r="E896">
        <v>64.969782481058999</v>
      </c>
      <c r="F896">
        <v>9</v>
      </c>
      <c r="G896">
        <v>14.482469469219399</v>
      </c>
    </row>
    <row r="897" spans="1:7" x14ac:dyDescent="0.45">
      <c r="A897" s="1">
        <v>44929</v>
      </c>
      <c r="B897" t="s">
        <v>12</v>
      </c>
      <c r="C897" t="s">
        <v>15</v>
      </c>
      <c r="D897" t="s">
        <v>9</v>
      </c>
      <c r="E897">
        <v>572.78024952286</v>
      </c>
      <c r="F897">
        <v>13</v>
      </c>
      <c r="G897">
        <v>142.48073910000301</v>
      </c>
    </row>
    <row r="898" spans="1:7" x14ac:dyDescent="0.45">
      <c r="A898" s="1">
        <v>45037</v>
      </c>
      <c r="B898" t="s">
        <v>12</v>
      </c>
      <c r="C898" t="s">
        <v>15</v>
      </c>
      <c r="D898" t="s">
        <v>20</v>
      </c>
      <c r="E898">
        <v>655.00052649560303</v>
      </c>
      <c r="F898">
        <v>9</v>
      </c>
      <c r="G898">
        <v>59.499338971571902</v>
      </c>
    </row>
    <row r="899" spans="1:7" x14ac:dyDescent="0.45">
      <c r="A899" s="1">
        <v>45164</v>
      </c>
      <c r="B899" t="s">
        <v>18</v>
      </c>
      <c r="C899" t="s">
        <v>16</v>
      </c>
      <c r="D899" t="s">
        <v>11</v>
      </c>
      <c r="E899">
        <v>218.67363486114101</v>
      </c>
      <c r="F899">
        <v>4</v>
      </c>
      <c r="G899">
        <v>16.636312236763001</v>
      </c>
    </row>
    <row r="900" spans="1:7" x14ac:dyDescent="0.45">
      <c r="A900" s="1">
        <v>45289</v>
      </c>
      <c r="B900" t="s">
        <v>18</v>
      </c>
      <c r="C900" t="s">
        <v>10</v>
      </c>
      <c r="D900" t="s">
        <v>17</v>
      </c>
      <c r="E900">
        <v>560.891643767201</v>
      </c>
      <c r="F900">
        <v>17</v>
      </c>
      <c r="G900">
        <v>48.449186771904998</v>
      </c>
    </row>
    <row r="901" spans="1:7" x14ac:dyDescent="0.45">
      <c r="A901" s="1">
        <v>45165</v>
      </c>
      <c r="B901" t="s">
        <v>18</v>
      </c>
      <c r="C901" t="s">
        <v>10</v>
      </c>
      <c r="D901" t="s">
        <v>11</v>
      </c>
      <c r="E901">
        <v>857.92846873494705</v>
      </c>
      <c r="F901">
        <v>16</v>
      </c>
      <c r="G901">
        <v>231.024599952947</v>
      </c>
    </row>
    <row r="902" spans="1:7" x14ac:dyDescent="0.45">
      <c r="A902" s="1">
        <v>45200</v>
      </c>
      <c r="B902" t="s">
        <v>7</v>
      </c>
      <c r="C902" t="s">
        <v>19</v>
      </c>
      <c r="D902" t="s">
        <v>20</v>
      </c>
      <c r="E902">
        <v>836.71528600046895</v>
      </c>
      <c r="F902">
        <v>15</v>
      </c>
      <c r="G902">
        <v>152.32177160323499</v>
      </c>
    </row>
    <row r="903" spans="1:7" x14ac:dyDescent="0.45">
      <c r="A903" s="1">
        <v>45220</v>
      </c>
      <c r="B903" t="s">
        <v>14</v>
      </c>
      <c r="C903" t="s">
        <v>10</v>
      </c>
      <c r="D903" t="s">
        <v>20</v>
      </c>
      <c r="E903">
        <v>928.08162878043402</v>
      </c>
      <c r="F903">
        <v>3</v>
      </c>
      <c r="G903">
        <v>154.81816799907401</v>
      </c>
    </row>
    <row r="904" spans="1:7" x14ac:dyDescent="0.45">
      <c r="A904" s="1">
        <v>45153</v>
      </c>
      <c r="B904" t="s">
        <v>18</v>
      </c>
      <c r="C904" t="s">
        <v>15</v>
      </c>
      <c r="D904" t="s">
        <v>20</v>
      </c>
      <c r="E904">
        <v>372.22695146131099</v>
      </c>
      <c r="F904">
        <v>5</v>
      </c>
      <c r="G904">
        <v>28.5416013504056</v>
      </c>
    </row>
    <row r="905" spans="1:7" x14ac:dyDescent="0.45">
      <c r="A905" s="1">
        <v>44941</v>
      </c>
      <c r="B905" t="s">
        <v>13</v>
      </c>
      <c r="C905" t="s">
        <v>15</v>
      </c>
      <c r="D905" t="s">
        <v>9</v>
      </c>
      <c r="E905">
        <v>324.86907682540902</v>
      </c>
      <c r="F905">
        <v>5</v>
      </c>
      <c r="G905">
        <v>68.998618906653903</v>
      </c>
    </row>
    <row r="906" spans="1:7" x14ac:dyDescent="0.45">
      <c r="A906" s="1">
        <v>45118</v>
      </c>
      <c r="B906" t="s">
        <v>13</v>
      </c>
      <c r="C906" t="s">
        <v>15</v>
      </c>
      <c r="D906" t="s">
        <v>17</v>
      </c>
      <c r="E906">
        <v>751.93174592100002</v>
      </c>
      <c r="F906">
        <v>15</v>
      </c>
      <c r="G906">
        <v>200.765699444147</v>
      </c>
    </row>
    <row r="907" spans="1:7" x14ac:dyDescent="0.45">
      <c r="A907" s="1">
        <v>45045</v>
      </c>
      <c r="B907" t="s">
        <v>12</v>
      </c>
      <c r="C907" t="s">
        <v>19</v>
      </c>
      <c r="D907" t="s">
        <v>17</v>
      </c>
      <c r="E907">
        <v>436.80128104603398</v>
      </c>
      <c r="F907">
        <v>18</v>
      </c>
      <c r="G907">
        <v>112.278226218478</v>
      </c>
    </row>
    <row r="908" spans="1:7" x14ac:dyDescent="0.45">
      <c r="A908" s="1">
        <v>44954</v>
      </c>
      <c r="B908" t="s">
        <v>14</v>
      </c>
      <c r="C908" t="s">
        <v>15</v>
      </c>
      <c r="D908" t="s">
        <v>20</v>
      </c>
      <c r="E908">
        <v>96.673177387502804</v>
      </c>
      <c r="F908">
        <v>15</v>
      </c>
      <c r="G908">
        <v>19.9643333532707</v>
      </c>
    </row>
    <row r="909" spans="1:7" x14ac:dyDescent="0.45">
      <c r="A909" s="1">
        <v>45128</v>
      </c>
      <c r="B909" t="s">
        <v>18</v>
      </c>
      <c r="C909" t="s">
        <v>10</v>
      </c>
      <c r="D909" t="s">
        <v>20</v>
      </c>
      <c r="E909">
        <v>289.97311936379401</v>
      </c>
      <c r="F909">
        <v>2</v>
      </c>
      <c r="G909">
        <v>19.955857040486901</v>
      </c>
    </row>
    <row r="910" spans="1:7" x14ac:dyDescent="0.45">
      <c r="A910" s="1">
        <v>44965</v>
      </c>
      <c r="B910" t="s">
        <v>13</v>
      </c>
      <c r="C910" t="s">
        <v>16</v>
      </c>
      <c r="D910" t="s">
        <v>9</v>
      </c>
      <c r="E910">
        <v>424.396462676174</v>
      </c>
      <c r="F910">
        <v>13</v>
      </c>
      <c r="G910">
        <v>33.1450483210131</v>
      </c>
    </row>
    <row r="911" spans="1:7" x14ac:dyDescent="0.45">
      <c r="A911" s="1">
        <v>45199</v>
      </c>
      <c r="B911" t="s">
        <v>14</v>
      </c>
      <c r="C911" t="s">
        <v>16</v>
      </c>
      <c r="D911" t="s">
        <v>11</v>
      </c>
      <c r="E911">
        <v>299.59126122148899</v>
      </c>
      <c r="F911">
        <v>4</v>
      </c>
      <c r="G911">
        <v>18.672698470521102</v>
      </c>
    </row>
    <row r="912" spans="1:7" x14ac:dyDescent="0.45">
      <c r="A912" s="1">
        <v>45157</v>
      </c>
      <c r="B912" t="s">
        <v>12</v>
      </c>
      <c r="C912" t="s">
        <v>8</v>
      </c>
      <c r="D912" t="s">
        <v>11</v>
      </c>
      <c r="E912">
        <v>338.88351523784797</v>
      </c>
      <c r="F912">
        <v>10</v>
      </c>
      <c r="G912">
        <v>38.7580412583061</v>
      </c>
    </row>
    <row r="913" spans="1:7" x14ac:dyDescent="0.45">
      <c r="A913" s="1">
        <v>45012</v>
      </c>
      <c r="B913" t="s">
        <v>7</v>
      </c>
      <c r="C913" t="s">
        <v>10</v>
      </c>
      <c r="D913" t="s">
        <v>17</v>
      </c>
      <c r="E913">
        <v>300.83814711264603</v>
      </c>
      <c r="F913">
        <v>13</v>
      </c>
      <c r="G913">
        <v>25.244943459410099</v>
      </c>
    </row>
    <row r="914" spans="1:7" x14ac:dyDescent="0.45">
      <c r="A914" s="1">
        <v>45052</v>
      </c>
      <c r="B914" t="s">
        <v>14</v>
      </c>
      <c r="C914" t="s">
        <v>15</v>
      </c>
      <c r="D914" t="s">
        <v>9</v>
      </c>
      <c r="E914">
        <v>51.084175511248603</v>
      </c>
      <c r="F914">
        <v>10</v>
      </c>
      <c r="G914">
        <v>5.8752937079653202</v>
      </c>
    </row>
    <row r="915" spans="1:7" x14ac:dyDescent="0.45">
      <c r="A915" s="1">
        <v>45226</v>
      </c>
      <c r="B915" t="s">
        <v>14</v>
      </c>
      <c r="C915" t="s">
        <v>16</v>
      </c>
      <c r="D915" t="s">
        <v>20</v>
      </c>
      <c r="E915">
        <v>640.72375381619804</v>
      </c>
      <c r="F915">
        <v>9</v>
      </c>
      <c r="G915">
        <v>93.715148415164805</v>
      </c>
    </row>
    <row r="916" spans="1:7" x14ac:dyDescent="0.45">
      <c r="A916" s="1">
        <v>44951</v>
      </c>
      <c r="B916" t="s">
        <v>7</v>
      </c>
      <c r="C916" t="s">
        <v>10</v>
      </c>
      <c r="D916" t="s">
        <v>17</v>
      </c>
      <c r="E916">
        <v>601.31949614993403</v>
      </c>
      <c r="F916">
        <v>8</v>
      </c>
      <c r="G916">
        <v>171.82445795642599</v>
      </c>
    </row>
    <row r="917" spans="1:7" x14ac:dyDescent="0.45">
      <c r="A917" s="1">
        <v>45071</v>
      </c>
      <c r="B917" t="s">
        <v>14</v>
      </c>
      <c r="C917" t="s">
        <v>16</v>
      </c>
      <c r="D917" t="s">
        <v>9</v>
      </c>
      <c r="E917">
        <v>656.84966349389299</v>
      </c>
      <c r="F917">
        <v>3</v>
      </c>
      <c r="G917">
        <v>133.07381054277701</v>
      </c>
    </row>
    <row r="918" spans="1:7" x14ac:dyDescent="0.45">
      <c r="A918" s="1">
        <v>44939</v>
      </c>
      <c r="B918" t="s">
        <v>12</v>
      </c>
      <c r="C918" t="s">
        <v>15</v>
      </c>
      <c r="D918" t="s">
        <v>11</v>
      </c>
      <c r="E918">
        <v>200.38679707329101</v>
      </c>
      <c r="F918">
        <v>16</v>
      </c>
      <c r="G918">
        <v>51.848770491956898</v>
      </c>
    </row>
    <row r="919" spans="1:7" x14ac:dyDescent="0.45">
      <c r="A919" s="1">
        <v>45138</v>
      </c>
      <c r="B919" t="s">
        <v>12</v>
      </c>
      <c r="C919" t="s">
        <v>16</v>
      </c>
      <c r="D919" t="s">
        <v>9</v>
      </c>
      <c r="E919">
        <v>302.69799619636001</v>
      </c>
      <c r="F919">
        <v>14</v>
      </c>
      <c r="G919">
        <v>68.8903937749931</v>
      </c>
    </row>
    <row r="920" spans="1:7" x14ac:dyDescent="0.45">
      <c r="A920" s="1">
        <v>44951</v>
      </c>
      <c r="B920" t="s">
        <v>7</v>
      </c>
      <c r="C920" t="s">
        <v>8</v>
      </c>
      <c r="D920" t="s">
        <v>11</v>
      </c>
      <c r="E920">
        <v>623.41976767547305</v>
      </c>
      <c r="F920">
        <v>9</v>
      </c>
      <c r="G920">
        <v>48.705157257692697</v>
      </c>
    </row>
    <row r="921" spans="1:7" x14ac:dyDescent="0.45">
      <c r="A921" s="1">
        <v>44994</v>
      </c>
      <c r="B921" t="s">
        <v>18</v>
      </c>
      <c r="C921" t="s">
        <v>8</v>
      </c>
      <c r="D921" t="s">
        <v>9</v>
      </c>
      <c r="E921">
        <v>603.63129277532198</v>
      </c>
      <c r="F921">
        <v>11</v>
      </c>
      <c r="G921">
        <v>141.237711208577</v>
      </c>
    </row>
    <row r="922" spans="1:7" x14ac:dyDescent="0.45">
      <c r="A922" s="1">
        <v>44993</v>
      </c>
      <c r="B922" t="s">
        <v>13</v>
      </c>
      <c r="C922" t="s">
        <v>16</v>
      </c>
      <c r="D922" t="s">
        <v>17</v>
      </c>
      <c r="E922">
        <v>511.267006260725</v>
      </c>
      <c r="F922">
        <v>3</v>
      </c>
      <c r="G922">
        <v>60.725595713137999</v>
      </c>
    </row>
    <row r="923" spans="1:7" x14ac:dyDescent="0.45">
      <c r="A923" s="1">
        <v>45159</v>
      </c>
      <c r="B923" t="s">
        <v>18</v>
      </c>
      <c r="C923" t="s">
        <v>10</v>
      </c>
      <c r="D923" t="s">
        <v>11</v>
      </c>
      <c r="E923">
        <v>356.90911751009497</v>
      </c>
      <c r="F923">
        <v>5</v>
      </c>
      <c r="G923">
        <v>74.871310291669204</v>
      </c>
    </row>
    <row r="924" spans="1:7" x14ac:dyDescent="0.45">
      <c r="A924" s="1">
        <v>45035</v>
      </c>
      <c r="B924" t="s">
        <v>14</v>
      </c>
      <c r="C924" t="s">
        <v>10</v>
      </c>
      <c r="D924" t="s">
        <v>17</v>
      </c>
      <c r="E924">
        <v>913.80169472694297</v>
      </c>
      <c r="F924">
        <v>10</v>
      </c>
      <c r="G924">
        <v>123.582992074448</v>
      </c>
    </row>
    <row r="925" spans="1:7" x14ac:dyDescent="0.45">
      <c r="A925" s="1">
        <v>45072</v>
      </c>
      <c r="B925" t="s">
        <v>13</v>
      </c>
      <c r="C925" t="s">
        <v>10</v>
      </c>
      <c r="D925" t="s">
        <v>17</v>
      </c>
      <c r="E925">
        <v>346.37253987585501</v>
      </c>
      <c r="F925">
        <v>13</v>
      </c>
      <c r="G925">
        <v>103.710195941461</v>
      </c>
    </row>
    <row r="926" spans="1:7" x14ac:dyDescent="0.45">
      <c r="A926" s="1">
        <v>45037</v>
      </c>
      <c r="B926" t="s">
        <v>7</v>
      </c>
      <c r="C926" t="s">
        <v>16</v>
      </c>
      <c r="D926" t="s">
        <v>11</v>
      </c>
      <c r="E926">
        <v>461.06296487287898</v>
      </c>
      <c r="F926">
        <v>4</v>
      </c>
      <c r="G926">
        <v>53.431604876998499</v>
      </c>
    </row>
    <row r="927" spans="1:7" x14ac:dyDescent="0.45">
      <c r="A927" s="1">
        <v>45154</v>
      </c>
      <c r="B927" t="s">
        <v>7</v>
      </c>
      <c r="C927" t="s">
        <v>10</v>
      </c>
      <c r="D927" t="s">
        <v>11</v>
      </c>
      <c r="E927">
        <v>681.33269264466605</v>
      </c>
      <c r="F927">
        <v>13</v>
      </c>
      <c r="G927">
        <v>81.611813445184893</v>
      </c>
    </row>
    <row r="928" spans="1:7" x14ac:dyDescent="0.45">
      <c r="A928" s="1">
        <v>45037</v>
      </c>
      <c r="B928" t="s">
        <v>13</v>
      </c>
      <c r="C928" t="s">
        <v>15</v>
      </c>
      <c r="D928" t="s">
        <v>20</v>
      </c>
      <c r="E928">
        <v>547.59121655809599</v>
      </c>
      <c r="F928">
        <v>12</v>
      </c>
      <c r="G928">
        <v>154.78654898797501</v>
      </c>
    </row>
    <row r="929" spans="1:7" x14ac:dyDescent="0.45">
      <c r="A929" s="1">
        <v>44960</v>
      </c>
      <c r="B929" t="s">
        <v>12</v>
      </c>
      <c r="C929" t="s">
        <v>8</v>
      </c>
      <c r="D929" t="s">
        <v>20</v>
      </c>
      <c r="E929">
        <v>353.417116600741</v>
      </c>
      <c r="F929">
        <v>5</v>
      </c>
      <c r="G929">
        <v>19.8482944367648</v>
      </c>
    </row>
    <row r="930" spans="1:7" x14ac:dyDescent="0.45">
      <c r="A930" s="1">
        <v>45037</v>
      </c>
      <c r="B930" t="s">
        <v>13</v>
      </c>
      <c r="C930" t="s">
        <v>15</v>
      </c>
      <c r="D930" t="s">
        <v>20</v>
      </c>
      <c r="E930">
        <v>441.28834255194403</v>
      </c>
      <c r="F930">
        <v>10</v>
      </c>
      <c r="G930">
        <v>98.924599310785894</v>
      </c>
    </row>
    <row r="931" spans="1:7" x14ac:dyDescent="0.45">
      <c r="A931" s="1">
        <v>45190</v>
      </c>
      <c r="B931" t="s">
        <v>14</v>
      </c>
      <c r="C931" t="s">
        <v>10</v>
      </c>
      <c r="D931" t="s">
        <v>17</v>
      </c>
      <c r="E931">
        <v>796.53600967497096</v>
      </c>
      <c r="F931">
        <v>9</v>
      </c>
      <c r="G931">
        <v>184.263947730924</v>
      </c>
    </row>
    <row r="932" spans="1:7" x14ac:dyDescent="0.45">
      <c r="A932" s="1">
        <v>45162</v>
      </c>
      <c r="B932" t="s">
        <v>12</v>
      </c>
      <c r="C932" t="s">
        <v>15</v>
      </c>
      <c r="D932" t="s">
        <v>17</v>
      </c>
      <c r="E932">
        <v>285.34786393174602</v>
      </c>
      <c r="F932">
        <v>7</v>
      </c>
      <c r="G932">
        <v>73.932103322169795</v>
      </c>
    </row>
    <row r="933" spans="1:7" x14ac:dyDescent="0.45">
      <c r="A933" s="1">
        <v>45009</v>
      </c>
      <c r="B933" t="s">
        <v>7</v>
      </c>
      <c r="C933" t="s">
        <v>10</v>
      </c>
      <c r="D933" t="s">
        <v>20</v>
      </c>
      <c r="E933">
        <v>150.832687379047</v>
      </c>
      <c r="F933">
        <v>2</v>
      </c>
      <c r="G933">
        <v>44.285959346799203</v>
      </c>
    </row>
    <row r="934" spans="1:7" x14ac:dyDescent="0.45">
      <c r="A934" s="1">
        <v>44968</v>
      </c>
      <c r="B934" t="s">
        <v>13</v>
      </c>
      <c r="C934" t="s">
        <v>16</v>
      </c>
      <c r="D934" t="s">
        <v>17</v>
      </c>
      <c r="E934">
        <v>320.03156981147902</v>
      </c>
      <c r="F934">
        <v>7</v>
      </c>
      <c r="G934">
        <v>94.057431915272801</v>
      </c>
    </row>
    <row r="935" spans="1:7" x14ac:dyDescent="0.45">
      <c r="A935" s="1">
        <v>45027</v>
      </c>
      <c r="B935" t="s">
        <v>18</v>
      </c>
      <c r="C935" t="s">
        <v>15</v>
      </c>
      <c r="D935" t="s">
        <v>17</v>
      </c>
      <c r="E935">
        <v>851.03887333302202</v>
      </c>
      <c r="F935">
        <v>8</v>
      </c>
      <c r="G935">
        <v>56.440208220200098</v>
      </c>
    </row>
    <row r="936" spans="1:7" x14ac:dyDescent="0.45">
      <c r="A936" s="1">
        <v>44932</v>
      </c>
      <c r="B936" t="s">
        <v>18</v>
      </c>
      <c r="C936" t="s">
        <v>16</v>
      </c>
      <c r="D936" t="s">
        <v>11</v>
      </c>
      <c r="E936">
        <v>98.099817707783103</v>
      </c>
      <c r="F936">
        <v>7</v>
      </c>
      <c r="G936">
        <v>25.060562822175999</v>
      </c>
    </row>
    <row r="937" spans="1:7" x14ac:dyDescent="0.45">
      <c r="A937" s="1">
        <v>45106</v>
      </c>
      <c r="B937" t="s">
        <v>14</v>
      </c>
      <c r="C937" t="s">
        <v>16</v>
      </c>
      <c r="D937" t="s">
        <v>11</v>
      </c>
      <c r="E937">
        <v>991.77911263872704</v>
      </c>
      <c r="F937">
        <v>14</v>
      </c>
      <c r="G937">
        <v>209.838128755014</v>
      </c>
    </row>
    <row r="938" spans="1:7" x14ac:dyDescent="0.45">
      <c r="A938" s="1">
        <v>45208</v>
      </c>
      <c r="B938" t="s">
        <v>18</v>
      </c>
      <c r="C938" t="s">
        <v>19</v>
      </c>
      <c r="D938" t="s">
        <v>17</v>
      </c>
      <c r="E938">
        <v>545.59286993838498</v>
      </c>
      <c r="F938">
        <v>19</v>
      </c>
      <c r="G938">
        <v>115.575956728083</v>
      </c>
    </row>
    <row r="939" spans="1:7" x14ac:dyDescent="0.45">
      <c r="A939" s="1">
        <v>45246</v>
      </c>
      <c r="B939" t="s">
        <v>13</v>
      </c>
      <c r="C939" t="s">
        <v>10</v>
      </c>
      <c r="D939" t="s">
        <v>20</v>
      </c>
      <c r="E939">
        <v>984.99728652742294</v>
      </c>
      <c r="F939">
        <v>5</v>
      </c>
      <c r="G939">
        <v>80.855946686738207</v>
      </c>
    </row>
    <row r="940" spans="1:7" x14ac:dyDescent="0.45">
      <c r="A940" s="1">
        <v>45152</v>
      </c>
      <c r="B940" t="s">
        <v>13</v>
      </c>
      <c r="C940" t="s">
        <v>8</v>
      </c>
      <c r="D940" t="s">
        <v>9</v>
      </c>
      <c r="E940">
        <v>939.60645786511702</v>
      </c>
      <c r="F940">
        <v>18</v>
      </c>
      <c r="G940">
        <v>199.710337996595</v>
      </c>
    </row>
    <row r="941" spans="1:7" x14ac:dyDescent="0.45">
      <c r="A941" s="1">
        <v>45241</v>
      </c>
      <c r="B941" t="s">
        <v>18</v>
      </c>
      <c r="C941" t="s">
        <v>10</v>
      </c>
      <c r="D941" t="s">
        <v>20</v>
      </c>
      <c r="E941">
        <v>458.28557706880702</v>
      </c>
      <c r="F941">
        <v>12</v>
      </c>
      <c r="G941">
        <v>135.47867795616301</v>
      </c>
    </row>
    <row r="942" spans="1:7" x14ac:dyDescent="0.45">
      <c r="A942" s="1">
        <v>45291</v>
      </c>
      <c r="B942" t="s">
        <v>13</v>
      </c>
      <c r="C942" t="s">
        <v>8</v>
      </c>
      <c r="D942" t="s">
        <v>9</v>
      </c>
      <c r="E942">
        <v>206.50616385929499</v>
      </c>
      <c r="F942">
        <v>17</v>
      </c>
      <c r="G942">
        <v>57.399346925780101</v>
      </c>
    </row>
    <row r="943" spans="1:7" x14ac:dyDescent="0.45">
      <c r="A943" s="1">
        <v>45155</v>
      </c>
      <c r="B943" t="s">
        <v>14</v>
      </c>
      <c r="C943" t="s">
        <v>10</v>
      </c>
      <c r="D943" t="s">
        <v>20</v>
      </c>
      <c r="E943">
        <v>173.235928799487</v>
      </c>
      <c r="F943">
        <v>13</v>
      </c>
      <c r="G943">
        <v>27.680098412189501</v>
      </c>
    </row>
    <row r="944" spans="1:7" x14ac:dyDescent="0.45">
      <c r="A944" s="1">
        <v>45215</v>
      </c>
      <c r="B944" t="s">
        <v>12</v>
      </c>
      <c r="C944" t="s">
        <v>16</v>
      </c>
      <c r="D944" t="s">
        <v>11</v>
      </c>
      <c r="E944">
        <v>247.589470231257</v>
      </c>
      <c r="F944">
        <v>2</v>
      </c>
      <c r="G944">
        <v>14.852147897242</v>
      </c>
    </row>
    <row r="945" spans="1:7" x14ac:dyDescent="0.45">
      <c r="A945" s="1">
        <v>45076</v>
      </c>
      <c r="B945" t="s">
        <v>14</v>
      </c>
      <c r="C945" t="s">
        <v>15</v>
      </c>
      <c r="D945" t="s">
        <v>17</v>
      </c>
      <c r="E945">
        <v>713.03131415889095</v>
      </c>
      <c r="F945">
        <v>13</v>
      </c>
      <c r="G945">
        <v>100.23321652945801</v>
      </c>
    </row>
    <row r="946" spans="1:7" x14ac:dyDescent="0.45">
      <c r="A946" s="1">
        <v>45203</v>
      </c>
      <c r="B946" t="s">
        <v>14</v>
      </c>
      <c r="C946" t="s">
        <v>15</v>
      </c>
      <c r="D946" t="s">
        <v>17</v>
      </c>
      <c r="E946">
        <v>280.22049478417199</v>
      </c>
      <c r="F946">
        <v>7</v>
      </c>
      <c r="G946">
        <v>71.903900239597206</v>
      </c>
    </row>
    <row r="947" spans="1:7" x14ac:dyDescent="0.45">
      <c r="A947" s="1">
        <v>45124</v>
      </c>
      <c r="B947" t="s">
        <v>13</v>
      </c>
      <c r="C947" t="s">
        <v>19</v>
      </c>
      <c r="D947" t="s">
        <v>11</v>
      </c>
      <c r="E947">
        <v>348.01101690825499</v>
      </c>
      <c r="F947">
        <v>10</v>
      </c>
      <c r="G947">
        <v>78.432904760692693</v>
      </c>
    </row>
    <row r="948" spans="1:7" x14ac:dyDescent="0.45">
      <c r="A948" s="1">
        <v>44996</v>
      </c>
      <c r="B948" t="s">
        <v>12</v>
      </c>
      <c r="C948" t="s">
        <v>8</v>
      </c>
      <c r="D948" t="s">
        <v>9</v>
      </c>
      <c r="E948">
        <v>454.29101595466801</v>
      </c>
      <c r="F948">
        <v>6</v>
      </c>
      <c r="G948">
        <v>74.8834747907609</v>
      </c>
    </row>
    <row r="949" spans="1:7" x14ac:dyDescent="0.45">
      <c r="A949" s="1">
        <v>45038</v>
      </c>
      <c r="B949" t="s">
        <v>13</v>
      </c>
      <c r="C949" t="s">
        <v>8</v>
      </c>
      <c r="D949" t="s">
        <v>9</v>
      </c>
      <c r="E949">
        <v>914.10035361724101</v>
      </c>
      <c r="F949">
        <v>3</v>
      </c>
      <c r="G949">
        <v>58.2971008742471</v>
      </c>
    </row>
    <row r="950" spans="1:7" x14ac:dyDescent="0.45">
      <c r="A950" s="1">
        <v>44930</v>
      </c>
      <c r="B950" t="s">
        <v>7</v>
      </c>
      <c r="C950" t="s">
        <v>8</v>
      </c>
      <c r="D950" t="s">
        <v>9</v>
      </c>
      <c r="E950">
        <v>197.49948370599699</v>
      </c>
      <c r="F950">
        <v>3</v>
      </c>
      <c r="G950">
        <v>30.952846270778501</v>
      </c>
    </row>
    <row r="951" spans="1:7" x14ac:dyDescent="0.45">
      <c r="A951" s="1">
        <v>45276</v>
      </c>
      <c r="B951" t="s">
        <v>13</v>
      </c>
      <c r="C951" t="s">
        <v>16</v>
      </c>
      <c r="D951" t="s">
        <v>11</v>
      </c>
      <c r="E951">
        <v>14.976287083705</v>
      </c>
      <c r="F951">
        <v>18</v>
      </c>
      <c r="G951">
        <v>2.5048773908433701</v>
      </c>
    </row>
    <row r="952" spans="1:7" x14ac:dyDescent="0.45">
      <c r="A952" s="1">
        <v>45257</v>
      </c>
      <c r="B952" t="s">
        <v>13</v>
      </c>
      <c r="C952" t="s">
        <v>8</v>
      </c>
      <c r="D952" t="s">
        <v>9</v>
      </c>
      <c r="E952">
        <v>69.495446274388399</v>
      </c>
      <c r="F952">
        <v>11</v>
      </c>
      <c r="G952">
        <v>19.607367600977</v>
      </c>
    </row>
    <row r="953" spans="1:7" x14ac:dyDescent="0.45">
      <c r="A953" s="1">
        <v>45244</v>
      </c>
      <c r="B953" t="s">
        <v>13</v>
      </c>
      <c r="C953" t="s">
        <v>15</v>
      </c>
      <c r="D953" t="s">
        <v>11</v>
      </c>
      <c r="E953">
        <v>905.71867826331595</v>
      </c>
      <c r="F953">
        <v>5</v>
      </c>
      <c r="G953">
        <v>190.446848510519</v>
      </c>
    </row>
    <row r="954" spans="1:7" x14ac:dyDescent="0.45">
      <c r="A954" s="1">
        <v>45276</v>
      </c>
      <c r="B954" t="s">
        <v>12</v>
      </c>
      <c r="C954" t="s">
        <v>16</v>
      </c>
      <c r="D954" t="s">
        <v>20</v>
      </c>
      <c r="E954">
        <v>651.04130019492902</v>
      </c>
      <c r="F954">
        <v>19</v>
      </c>
      <c r="G954">
        <v>83.276795026842606</v>
      </c>
    </row>
    <row r="955" spans="1:7" x14ac:dyDescent="0.45">
      <c r="A955" s="1">
        <v>45021</v>
      </c>
      <c r="B955" t="s">
        <v>13</v>
      </c>
      <c r="C955" t="s">
        <v>10</v>
      </c>
      <c r="D955" t="s">
        <v>20</v>
      </c>
      <c r="E955">
        <v>280.310213134528</v>
      </c>
      <c r="F955">
        <v>19</v>
      </c>
      <c r="G955">
        <v>50.828529324637003</v>
      </c>
    </row>
    <row r="956" spans="1:7" x14ac:dyDescent="0.45">
      <c r="A956" s="1">
        <v>45078</v>
      </c>
      <c r="B956" t="s">
        <v>12</v>
      </c>
      <c r="C956" t="s">
        <v>8</v>
      </c>
      <c r="D956" t="s">
        <v>11</v>
      </c>
      <c r="E956">
        <v>185.42057600107901</v>
      </c>
      <c r="F956">
        <v>15</v>
      </c>
      <c r="G956">
        <v>12.3330321061323</v>
      </c>
    </row>
    <row r="957" spans="1:7" x14ac:dyDescent="0.45">
      <c r="A957" s="1">
        <v>45237</v>
      </c>
      <c r="B957" t="s">
        <v>18</v>
      </c>
      <c r="C957" t="s">
        <v>8</v>
      </c>
      <c r="D957" t="s">
        <v>17</v>
      </c>
      <c r="E957">
        <v>301.324069270743</v>
      </c>
      <c r="F957">
        <v>16</v>
      </c>
      <c r="G957">
        <v>88.330758065898607</v>
      </c>
    </row>
    <row r="958" spans="1:7" x14ac:dyDescent="0.45">
      <c r="A958" s="1">
        <v>45063</v>
      </c>
      <c r="B958" t="s">
        <v>7</v>
      </c>
      <c r="C958" t="s">
        <v>10</v>
      </c>
      <c r="D958" t="s">
        <v>20</v>
      </c>
      <c r="E958">
        <v>123.648957978767</v>
      </c>
      <c r="F958">
        <v>9</v>
      </c>
      <c r="G958">
        <v>17.312705819856198</v>
      </c>
    </row>
    <row r="959" spans="1:7" x14ac:dyDescent="0.45">
      <c r="A959" s="1">
        <v>45173</v>
      </c>
      <c r="B959" t="s">
        <v>12</v>
      </c>
      <c r="C959" t="s">
        <v>8</v>
      </c>
      <c r="D959" t="s">
        <v>9</v>
      </c>
      <c r="E959">
        <v>942.11758118159605</v>
      </c>
      <c r="F959">
        <v>4</v>
      </c>
      <c r="G959">
        <v>159.657688193182</v>
      </c>
    </row>
    <row r="960" spans="1:7" x14ac:dyDescent="0.45">
      <c r="A960" s="1">
        <v>45169</v>
      </c>
      <c r="B960" t="s">
        <v>18</v>
      </c>
      <c r="C960" t="s">
        <v>10</v>
      </c>
      <c r="D960" t="s">
        <v>11</v>
      </c>
      <c r="E960">
        <v>786.36411262161403</v>
      </c>
      <c r="F960">
        <v>15</v>
      </c>
      <c r="G960">
        <v>109.163847413455</v>
      </c>
    </row>
    <row r="961" spans="1:7" x14ac:dyDescent="0.45">
      <c r="A961" s="1">
        <v>44957</v>
      </c>
      <c r="B961" t="s">
        <v>12</v>
      </c>
      <c r="C961" t="s">
        <v>16</v>
      </c>
      <c r="D961" t="s">
        <v>9</v>
      </c>
      <c r="E961">
        <v>467.76726514341499</v>
      </c>
      <c r="F961">
        <v>12</v>
      </c>
      <c r="G961">
        <v>103.202524613359</v>
      </c>
    </row>
    <row r="962" spans="1:7" x14ac:dyDescent="0.45">
      <c r="A962" s="1">
        <v>44966</v>
      </c>
      <c r="B962" t="s">
        <v>12</v>
      </c>
      <c r="C962" t="s">
        <v>15</v>
      </c>
      <c r="D962" t="s">
        <v>9</v>
      </c>
      <c r="E962">
        <v>866.31297906404996</v>
      </c>
      <c r="F962">
        <v>3</v>
      </c>
      <c r="G962">
        <v>186.74072743183299</v>
      </c>
    </row>
    <row r="963" spans="1:7" x14ac:dyDescent="0.45">
      <c r="A963" s="1">
        <v>45155</v>
      </c>
      <c r="B963" t="s">
        <v>7</v>
      </c>
      <c r="C963" t="s">
        <v>10</v>
      </c>
      <c r="D963" t="s">
        <v>17</v>
      </c>
      <c r="E963">
        <v>256.96362225029998</v>
      </c>
      <c r="F963">
        <v>14</v>
      </c>
      <c r="G963">
        <v>58.801134110020101</v>
      </c>
    </row>
    <row r="964" spans="1:7" x14ac:dyDescent="0.45">
      <c r="A964" s="1">
        <v>44962</v>
      </c>
      <c r="B964" t="s">
        <v>14</v>
      </c>
      <c r="C964" t="s">
        <v>19</v>
      </c>
      <c r="D964" t="s">
        <v>9</v>
      </c>
      <c r="E964">
        <v>719.94936278747105</v>
      </c>
      <c r="F964">
        <v>17</v>
      </c>
      <c r="G964">
        <v>84.259854963092806</v>
      </c>
    </row>
    <row r="965" spans="1:7" x14ac:dyDescent="0.45">
      <c r="A965" s="1">
        <v>45149</v>
      </c>
      <c r="B965" t="s">
        <v>14</v>
      </c>
      <c r="C965" t="s">
        <v>10</v>
      </c>
      <c r="D965" t="s">
        <v>17</v>
      </c>
      <c r="E965">
        <v>857.57117402360598</v>
      </c>
      <c r="F965">
        <v>19</v>
      </c>
      <c r="G965">
        <v>110.555606199709</v>
      </c>
    </row>
    <row r="966" spans="1:7" x14ac:dyDescent="0.45">
      <c r="A966" s="1">
        <v>44932</v>
      </c>
      <c r="B966" t="s">
        <v>12</v>
      </c>
      <c r="C966" t="s">
        <v>8</v>
      </c>
      <c r="D966" t="s">
        <v>20</v>
      </c>
      <c r="E966">
        <v>363.20102450703899</v>
      </c>
      <c r="F966">
        <v>6</v>
      </c>
      <c r="G966">
        <v>29.532895089079599</v>
      </c>
    </row>
    <row r="967" spans="1:7" x14ac:dyDescent="0.45">
      <c r="A967" s="1">
        <v>45248</v>
      </c>
      <c r="B967" t="s">
        <v>13</v>
      </c>
      <c r="C967" t="s">
        <v>16</v>
      </c>
      <c r="D967" t="s">
        <v>11</v>
      </c>
      <c r="E967">
        <v>759.88980099621006</v>
      </c>
      <c r="F967">
        <v>4</v>
      </c>
      <c r="G967">
        <v>162.523325564104</v>
      </c>
    </row>
    <row r="968" spans="1:7" x14ac:dyDescent="0.45">
      <c r="A968" s="1">
        <v>45146</v>
      </c>
      <c r="B968" t="s">
        <v>18</v>
      </c>
      <c r="C968" t="s">
        <v>16</v>
      </c>
      <c r="D968" t="s">
        <v>9</v>
      </c>
      <c r="E968">
        <v>302.121625771666</v>
      </c>
      <c r="F968">
        <v>7</v>
      </c>
      <c r="G968">
        <v>18.111974491505599</v>
      </c>
    </row>
    <row r="969" spans="1:7" x14ac:dyDescent="0.45">
      <c r="A969" s="1">
        <v>45001</v>
      </c>
      <c r="B969" t="s">
        <v>13</v>
      </c>
      <c r="C969" t="s">
        <v>10</v>
      </c>
      <c r="D969" t="s">
        <v>11</v>
      </c>
      <c r="E969">
        <v>305.86856390643999</v>
      </c>
      <c r="F969">
        <v>19</v>
      </c>
      <c r="G969">
        <v>60.996487605023901</v>
      </c>
    </row>
    <row r="970" spans="1:7" x14ac:dyDescent="0.45">
      <c r="A970" s="1">
        <v>44930</v>
      </c>
      <c r="B970" t="s">
        <v>13</v>
      </c>
      <c r="C970" t="s">
        <v>15</v>
      </c>
      <c r="D970" t="s">
        <v>9</v>
      </c>
      <c r="E970">
        <v>115.98660676864399</v>
      </c>
      <c r="F970">
        <v>17</v>
      </c>
      <c r="G970">
        <v>31.017598989580801</v>
      </c>
    </row>
    <row r="971" spans="1:7" x14ac:dyDescent="0.45">
      <c r="A971" s="1">
        <v>45261</v>
      </c>
      <c r="B971" t="s">
        <v>12</v>
      </c>
      <c r="C971" t="s">
        <v>19</v>
      </c>
      <c r="D971" t="s">
        <v>11</v>
      </c>
      <c r="E971">
        <v>445.65746604430399</v>
      </c>
      <c r="F971">
        <v>16</v>
      </c>
      <c r="G971">
        <v>121.53437277160501</v>
      </c>
    </row>
    <row r="972" spans="1:7" x14ac:dyDescent="0.45">
      <c r="A972" s="1">
        <v>45060</v>
      </c>
      <c r="B972" t="s">
        <v>12</v>
      </c>
      <c r="C972" t="s">
        <v>16</v>
      </c>
      <c r="D972" t="s">
        <v>9</v>
      </c>
      <c r="E972">
        <v>732.41478743244795</v>
      </c>
      <c r="F972">
        <v>15</v>
      </c>
      <c r="G972">
        <v>118.841213324249</v>
      </c>
    </row>
    <row r="973" spans="1:7" x14ac:dyDescent="0.45">
      <c r="A973" s="1">
        <v>45044</v>
      </c>
      <c r="B973" t="s">
        <v>12</v>
      </c>
      <c r="C973" t="s">
        <v>8</v>
      </c>
      <c r="D973" t="s">
        <v>9</v>
      </c>
      <c r="E973">
        <v>940.81859751557204</v>
      </c>
      <c r="F973">
        <v>8</v>
      </c>
      <c r="G973">
        <v>155.07129282036701</v>
      </c>
    </row>
    <row r="974" spans="1:7" x14ac:dyDescent="0.45">
      <c r="A974" s="1">
        <v>45020</v>
      </c>
      <c r="B974" t="s">
        <v>12</v>
      </c>
      <c r="C974" t="s">
        <v>8</v>
      </c>
      <c r="D974" t="s">
        <v>9</v>
      </c>
      <c r="E974">
        <v>607.75902200980499</v>
      </c>
      <c r="F974">
        <v>19</v>
      </c>
      <c r="G974">
        <v>42.082629947951801</v>
      </c>
    </row>
    <row r="975" spans="1:7" x14ac:dyDescent="0.45">
      <c r="A975" s="1">
        <v>44988</v>
      </c>
      <c r="B975" t="s">
        <v>14</v>
      </c>
      <c r="C975" t="s">
        <v>15</v>
      </c>
      <c r="D975" t="s">
        <v>9</v>
      </c>
      <c r="E975">
        <v>864.50418235838094</v>
      </c>
      <c r="F975">
        <v>8</v>
      </c>
      <c r="G975">
        <v>188.19500158672599</v>
      </c>
    </row>
    <row r="976" spans="1:7" x14ac:dyDescent="0.45">
      <c r="A976" s="1">
        <v>45120</v>
      </c>
      <c r="B976" t="s">
        <v>12</v>
      </c>
      <c r="C976" t="s">
        <v>16</v>
      </c>
      <c r="D976" t="s">
        <v>9</v>
      </c>
      <c r="E976">
        <v>824.26970279732404</v>
      </c>
      <c r="F976">
        <v>18</v>
      </c>
      <c r="G976">
        <v>210.44829972742301</v>
      </c>
    </row>
    <row r="977" spans="1:7" x14ac:dyDescent="0.45">
      <c r="A977" s="1">
        <v>45261</v>
      </c>
      <c r="B977" t="s">
        <v>14</v>
      </c>
      <c r="C977" t="s">
        <v>10</v>
      </c>
      <c r="D977" t="s">
        <v>9</v>
      </c>
      <c r="E977">
        <v>181.609622445528</v>
      </c>
      <c r="F977">
        <v>16</v>
      </c>
      <c r="G977">
        <v>20.188409146314299</v>
      </c>
    </row>
    <row r="978" spans="1:7" x14ac:dyDescent="0.45">
      <c r="A978" s="1">
        <v>45129</v>
      </c>
      <c r="B978" t="s">
        <v>14</v>
      </c>
      <c r="C978" t="s">
        <v>8</v>
      </c>
      <c r="D978" t="s">
        <v>9</v>
      </c>
      <c r="E978">
        <v>490.95925462350499</v>
      </c>
      <c r="F978">
        <v>19</v>
      </c>
      <c r="G978">
        <v>76.258354435910803</v>
      </c>
    </row>
    <row r="979" spans="1:7" x14ac:dyDescent="0.45">
      <c r="A979" s="1">
        <v>44952</v>
      </c>
      <c r="B979" t="s">
        <v>12</v>
      </c>
      <c r="C979" t="s">
        <v>15</v>
      </c>
      <c r="D979" t="s">
        <v>9</v>
      </c>
      <c r="E979">
        <v>125.754300170137</v>
      </c>
      <c r="F979">
        <v>10</v>
      </c>
      <c r="G979">
        <v>32.659628446031597</v>
      </c>
    </row>
    <row r="980" spans="1:7" x14ac:dyDescent="0.45">
      <c r="A980" s="1">
        <v>45099</v>
      </c>
      <c r="B980" t="s">
        <v>7</v>
      </c>
      <c r="C980" t="s">
        <v>16</v>
      </c>
      <c r="D980" t="s">
        <v>9</v>
      </c>
      <c r="E980">
        <v>685.33162994601798</v>
      </c>
      <c r="F980">
        <v>17</v>
      </c>
      <c r="G980">
        <v>184.546181437803</v>
      </c>
    </row>
    <row r="981" spans="1:7" x14ac:dyDescent="0.45">
      <c r="A981" s="1">
        <v>45226</v>
      </c>
      <c r="B981" t="s">
        <v>18</v>
      </c>
      <c r="C981" t="s">
        <v>16</v>
      </c>
      <c r="D981" t="s">
        <v>11</v>
      </c>
      <c r="E981">
        <v>950.40067156361499</v>
      </c>
      <c r="F981">
        <v>13</v>
      </c>
      <c r="G981">
        <v>105.29963771666699</v>
      </c>
    </row>
    <row r="982" spans="1:7" x14ac:dyDescent="0.45">
      <c r="A982" s="1">
        <v>45059</v>
      </c>
      <c r="B982" t="s">
        <v>13</v>
      </c>
      <c r="C982" t="s">
        <v>16</v>
      </c>
      <c r="D982" t="s">
        <v>17</v>
      </c>
      <c r="E982">
        <v>145.71856349796801</v>
      </c>
      <c r="F982">
        <v>13</v>
      </c>
      <c r="G982">
        <v>27.343018667281601</v>
      </c>
    </row>
    <row r="983" spans="1:7" x14ac:dyDescent="0.45">
      <c r="A983" s="1">
        <v>45252</v>
      </c>
      <c r="B983" t="s">
        <v>14</v>
      </c>
      <c r="C983" t="s">
        <v>16</v>
      </c>
      <c r="D983" t="s">
        <v>9</v>
      </c>
      <c r="E983">
        <v>736.54429949451503</v>
      </c>
      <c r="F983">
        <v>7</v>
      </c>
      <c r="G983">
        <v>72.272148172865101</v>
      </c>
    </row>
    <row r="984" spans="1:7" x14ac:dyDescent="0.45">
      <c r="A984" s="1">
        <v>45044</v>
      </c>
      <c r="B984" t="s">
        <v>18</v>
      </c>
      <c r="C984" t="s">
        <v>16</v>
      </c>
      <c r="D984" t="s">
        <v>17</v>
      </c>
      <c r="E984">
        <v>635.91576935918204</v>
      </c>
      <c r="F984">
        <v>10</v>
      </c>
      <c r="G984">
        <v>47.992366637751303</v>
      </c>
    </row>
    <row r="985" spans="1:7" x14ac:dyDescent="0.45">
      <c r="A985" s="1">
        <v>45250</v>
      </c>
      <c r="B985" t="s">
        <v>7</v>
      </c>
      <c r="C985" t="s">
        <v>8</v>
      </c>
      <c r="D985" t="s">
        <v>9</v>
      </c>
      <c r="E985">
        <v>587.76898663801796</v>
      </c>
      <c r="F985">
        <v>2</v>
      </c>
      <c r="G985">
        <v>163.27054278396901</v>
      </c>
    </row>
    <row r="986" spans="1:7" x14ac:dyDescent="0.45">
      <c r="A986" s="1">
        <v>45201</v>
      </c>
      <c r="B986" t="s">
        <v>13</v>
      </c>
      <c r="C986" t="s">
        <v>15</v>
      </c>
      <c r="D986" t="s">
        <v>9</v>
      </c>
      <c r="E986">
        <v>396.21903234145498</v>
      </c>
      <c r="F986">
        <v>4</v>
      </c>
      <c r="G986">
        <v>101.08612395601</v>
      </c>
    </row>
    <row r="987" spans="1:7" x14ac:dyDescent="0.45">
      <c r="A987" s="1">
        <v>45138</v>
      </c>
      <c r="B987" t="s">
        <v>13</v>
      </c>
      <c r="C987" t="s">
        <v>16</v>
      </c>
      <c r="D987" t="s">
        <v>11</v>
      </c>
      <c r="E987">
        <v>361.58033127627402</v>
      </c>
      <c r="F987">
        <v>6</v>
      </c>
      <c r="G987">
        <v>86.782434457694293</v>
      </c>
    </row>
    <row r="988" spans="1:7" x14ac:dyDescent="0.45">
      <c r="A988" s="1">
        <v>45151</v>
      </c>
      <c r="B988" t="s">
        <v>14</v>
      </c>
      <c r="C988" t="s">
        <v>19</v>
      </c>
      <c r="D988" t="s">
        <v>20</v>
      </c>
      <c r="E988">
        <v>54.796697128698902</v>
      </c>
      <c r="F988">
        <v>18</v>
      </c>
      <c r="G988">
        <v>3.4078931569562498</v>
      </c>
    </row>
    <row r="989" spans="1:7" x14ac:dyDescent="0.45">
      <c r="A989" s="1">
        <v>44946</v>
      </c>
      <c r="B989" t="s">
        <v>12</v>
      </c>
      <c r="C989" t="s">
        <v>19</v>
      </c>
      <c r="D989" t="s">
        <v>20</v>
      </c>
      <c r="E989">
        <v>225.72962116949299</v>
      </c>
      <c r="F989">
        <v>6</v>
      </c>
      <c r="G989">
        <v>58.900126245544698</v>
      </c>
    </row>
    <row r="990" spans="1:7" x14ac:dyDescent="0.45">
      <c r="A990" s="1">
        <v>45039</v>
      </c>
      <c r="B990" t="s">
        <v>7</v>
      </c>
      <c r="C990" t="s">
        <v>15</v>
      </c>
      <c r="D990" t="s">
        <v>11</v>
      </c>
      <c r="E990">
        <v>25.025113463958601</v>
      </c>
      <c r="F990">
        <v>17</v>
      </c>
      <c r="G990">
        <v>3.99178134863471</v>
      </c>
    </row>
    <row r="991" spans="1:7" x14ac:dyDescent="0.45">
      <c r="A991" s="1">
        <v>45066</v>
      </c>
      <c r="B991" t="s">
        <v>14</v>
      </c>
      <c r="C991" t="s">
        <v>10</v>
      </c>
      <c r="D991" t="s">
        <v>17</v>
      </c>
      <c r="E991">
        <v>585.60293452619999</v>
      </c>
      <c r="F991">
        <v>14</v>
      </c>
      <c r="G991">
        <v>79.407043968688896</v>
      </c>
    </row>
    <row r="992" spans="1:7" x14ac:dyDescent="0.45">
      <c r="A992" s="1">
        <v>44973</v>
      </c>
      <c r="B992" t="s">
        <v>7</v>
      </c>
      <c r="C992" t="s">
        <v>10</v>
      </c>
      <c r="D992" t="s">
        <v>20</v>
      </c>
      <c r="E992">
        <v>114.794703519129</v>
      </c>
      <c r="F992">
        <v>11</v>
      </c>
      <c r="G992">
        <v>21.422883136986702</v>
      </c>
    </row>
    <row r="993" spans="1:7" x14ac:dyDescent="0.45">
      <c r="A993" s="1">
        <v>44927</v>
      </c>
      <c r="B993" t="s">
        <v>12</v>
      </c>
      <c r="C993" t="s">
        <v>10</v>
      </c>
      <c r="D993" t="s">
        <v>11</v>
      </c>
      <c r="E993">
        <v>874.28920008941896</v>
      </c>
      <c r="F993">
        <v>19</v>
      </c>
      <c r="G993">
        <v>63.681748381058902</v>
      </c>
    </row>
    <row r="994" spans="1:7" x14ac:dyDescent="0.45">
      <c r="A994" s="1">
        <v>45016</v>
      </c>
      <c r="B994" t="s">
        <v>12</v>
      </c>
      <c r="C994" t="s">
        <v>19</v>
      </c>
      <c r="D994" t="s">
        <v>11</v>
      </c>
      <c r="E994">
        <v>527.91159049019302</v>
      </c>
      <c r="F994">
        <v>2</v>
      </c>
      <c r="G994">
        <v>126.25620035139499</v>
      </c>
    </row>
    <row r="995" spans="1:7" x14ac:dyDescent="0.45">
      <c r="A995" s="1">
        <v>45068</v>
      </c>
      <c r="B995" t="s">
        <v>14</v>
      </c>
      <c r="C995" t="s">
        <v>10</v>
      </c>
      <c r="D995" t="s">
        <v>20</v>
      </c>
      <c r="E995">
        <v>702.69300996812103</v>
      </c>
      <c r="F995">
        <v>3</v>
      </c>
      <c r="G995">
        <v>137.45291482081799</v>
      </c>
    </row>
    <row r="996" spans="1:7" x14ac:dyDescent="0.45">
      <c r="A996" s="1">
        <v>45246</v>
      </c>
      <c r="B996" t="s">
        <v>12</v>
      </c>
      <c r="C996" t="s">
        <v>8</v>
      </c>
      <c r="D996" t="s">
        <v>17</v>
      </c>
      <c r="E996">
        <v>416.74852092209102</v>
      </c>
      <c r="F996">
        <v>11</v>
      </c>
      <c r="G996">
        <v>40.277712768755102</v>
      </c>
    </row>
    <row r="997" spans="1:7" x14ac:dyDescent="0.45">
      <c r="A997" s="1">
        <v>44964</v>
      </c>
      <c r="B997" t="s">
        <v>18</v>
      </c>
      <c r="C997" t="s">
        <v>16</v>
      </c>
      <c r="D997" t="s">
        <v>11</v>
      </c>
      <c r="E997">
        <v>564.97401091103802</v>
      </c>
      <c r="F997">
        <v>6</v>
      </c>
      <c r="G997">
        <v>54.835275767083203</v>
      </c>
    </row>
    <row r="998" spans="1:7" x14ac:dyDescent="0.45">
      <c r="A998" s="1">
        <v>45219</v>
      </c>
      <c r="B998" t="s">
        <v>13</v>
      </c>
      <c r="C998" t="s">
        <v>19</v>
      </c>
      <c r="D998" t="s">
        <v>9</v>
      </c>
      <c r="E998">
        <v>943.23258519696401</v>
      </c>
      <c r="F998">
        <v>14</v>
      </c>
      <c r="G998">
        <v>90.608962245335206</v>
      </c>
    </row>
    <row r="999" spans="1:7" x14ac:dyDescent="0.45">
      <c r="A999" s="1">
        <v>45065</v>
      </c>
      <c r="B999" t="s">
        <v>14</v>
      </c>
      <c r="C999" t="s">
        <v>15</v>
      </c>
      <c r="D999" t="s">
        <v>17</v>
      </c>
      <c r="E999">
        <v>91.906699227434004</v>
      </c>
      <c r="F999">
        <v>19</v>
      </c>
      <c r="G999">
        <v>5.9050602833670096</v>
      </c>
    </row>
    <row r="1000" spans="1:7" x14ac:dyDescent="0.45">
      <c r="A1000" s="1">
        <v>45282</v>
      </c>
      <c r="B1000" t="s">
        <v>7</v>
      </c>
      <c r="C1000" t="s">
        <v>15</v>
      </c>
      <c r="D1000" t="s">
        <v>17</v>
      </c>
      <c r="E1000">
        <v>261.39839420445901</v>
      </c>
      <c r="F1000">
        <v>16</v>
      </c>
      <c r="G1000">
        <v>51.482312405630303</v>
      </c>
    </row>
    <row r="1001" spans="1:7" x14ac:dyDescent="0.45">
      <c r="A1001" s="1">
        <v>45259</v>
      </c>
      <c r="B1001" t="s">
        <v>18</v>
      </c>
      <c r="C1001" t="s">
        <v>16</v>
      </c>
      <c r="D1001" t="s">
        <v>20</v>
      </c>
      <c r="E1001">
        <v>782.18844364143797</v>
      </c>
      <c r="F1001">
        <v>7</v>
      </c>
      <c r="G1001">
        <v>203.43708046828999</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672C3-7028-4F60-A173-601C4539EC06}">
  <dimension ref="A1"/>
  <sheetViews>
    <sheetView workbookViewId="0">
      <selection activeCell="G27" sqref="G27"/>
    </sheetView>
  </sheetViews>
  <sheetFormatPr defaultRowHeight="14.25" x14ac:dyDescent="0.4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D5C90-E107-43A4-8630-149A432CFBE6}">
  <dimension ref="A1"/>
  <sheetViews>
    <sheetView showGridLines="0" showRowColHeaders="0" tabSelected="1" topLeftCell="E4" zoomScale="60" zoomScaleNormal="60" workbookViewId="0">
      <selection activeCell="W59" sqref="W59"/>
    </sheetView>
  </sheetViews>
  <sheetFormatPr defaultRowHeight="14.25" x14ac:dyDescent="0.4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AND PRODUCT BY REGION</vt:lpstr>
      <vt:lpstr>CATEGORY BY PROFIT AND SALES</vt:lpstr>
      <vt:lpstr>MONTHLY SALES TREND</vt:lpstr>
      <vt:lpstr>DATA</vt:lpstr>
      <vt:lpstr>TOTAL SALES</vt:lpstr>
      <vt:lpstr>sales analysis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USER</dc:creator>
  <cp:lastModifiedBy>USER</cp:lastModifiedBy>
  <dcterms:created xsi:type="dcterms:W3CDTF">2024-08-24T12:47:17Z</dcterms:created>
  <dcterms:modified xsi:type="dcterms:W3CDTF">2025-04-02T20:46:54Z</dcterms:modified>
</cp:coreProperties>
</file>